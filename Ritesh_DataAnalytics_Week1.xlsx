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16B8D468-EBEE-43A2-A779-9D5DAA8ED6F8}" xr6:coauthVersionLast="47" xr6:coauthVersionMax="47" xr10:uidLastSave="{00000000-0000-0000-0000-000000000000}"/>
  <bookViews>
    <workbookView xWindow="-120" yWindow="-120" windowWidth="20730" windowHeight="11310" activeTab="3" xr2:uid="{F272424B-63A2-44D1-B69F-60B8867D9470}"/>
  </bookViews>
  <sheets>
    <sheet name="Formulas" sheetId="1" r:id="rId1"/>
    <sheet name="Charts" sheetId="8" r:id="rId2"/>
    <sheet name="Pivot Tables" sheetId="11" r:id="rId3"/>
    <sheet name="Dashboard" sheetId="12" r:id="rId4"/>
  </sheets>
  <definedNames>
    <definedName name="Slicer_Age">#N/A</definedName>
    <definedName name="Slicer_Experience_Years">#N/A</definedName>
    <definedName name="Slicer_Gender">#N/A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I2" i="1"/>
  <c r="H2" i="1"/>
  <c r="M5" i="1"/>
  <c r="L5" i="1"/>
  <c r="K5" i="1"/>
  <c r="M2" i="1"/>
  <c r="L2" i="1"/>
  <c r="K2" i="1"/>
  <c r="G8" i="1"/>
  <c r="G7" i="1"/>
  <c r="G3" i="1"/>
  <c r="G4" i="1"/>
  <c r="G5" i="1"/>
  <c r="G6"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2" i="1"/>
</calcChain>
</file>

<file path=xl/sharedStrings.xml><?xml version="1.0" encoding="utf-8"?>
<sst xmlns="http://schemas.openxmlformats.org/spreadsheetml/2006/main" count="101" uniqueCount="22">
  <si>
    <t>ID</t>
  </si>
  <si>
    <t>Experience_Years</t>
  </si>
  <si>
    <t>Age</t>
  </si>
  <si>
    <t>Gender</t>
  </si>
  <si>
    <t>Salary</t>
  </si>
  <si>
    <t>Female</t>
  </si>
  <si>
    <t>Male</t>
  </si>
  <si>
    <t>IF</t>
  </si>
  <si>
    <t>COUNTIF</t>
  </si>
  <si>
    <t>SUMIF</t>
  </si>
  <si>
    <t>VLOOKUP</t>
  </si>
  <si>
    <t>AVG SALARY</t>
  </si>
  <si>
    <t>MAX SALARY</t>
  </si>
  <si>
    <t>MIN SALARY</t>
  </si>
  <si>
    <t>AVG AGE</t>
  </si>
  <si>
    <t>MAX AGE</t>
  </si>
  <si>
    <t>MIN AGE</t>
  </si>
  <si>
    <t>Row Labels</t>
  </si>
  <si>
    <t>Grand Total</t>
  </si>
  <si>
    <t>Sum of Salary by Experience</t>
  </si>
  <si>
    <t>Sum of Salary by Age</t>
  </si>
  <si>
    <t>Salary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</si>
</sst>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6" fillId="2" borderId="0" xfId="7"/>
    <xf numFmtId="16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0" fontId="0" fillId="33" borderId="0" xfId="0" applyFill="1" applyAlignment="1">
      <alignment horizontal="center"/>
    </xf>
    <xf numFmtId="0" fontId="18" fillId="33" borderId="0" xfId="0" applyFont="1" applyFill="1" applyAlignment="1">
      <alignment horizontal="center"/>
    </xf>
    <xf numFmtId="0" fontId="0" fillId="0" borderId="0" xfId="0" applyAlignment="1">
      <alignment horizontal="left"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extLst>
                <c:ext xmlns:c15="http://schemas.microsoft.com/office/drawing/2012/chart" uri="{02D57815-91ED-43cb-92C2-25804820EDAC}">
                  <c15:fullRef>
                    <c15:sqref>Charts!$A$2:$D$2</c15:sqref>
                  </c15:fullRef>
                  <c15:levelRef>
                    <c15:sqref>Charts!$D$2</c15:sqref>
                  </c15:levelRef>
                </c:ext>
              </c:extLst>
              <c:f>Charts!$D$2</c:f>
              <c:strCache>
                <c:ptCount val="4"/>
                <c:pt idx="0">
                  <c:v>1</c:v>
                </c:pt>
                <c:pt idx="1">
                  <c:v>5</c:v>
                </c:pt>
                <c:pt idx="2">
                  <c:v>28</c:v>
                </c:pt>
                <c:pt idx="3">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c:f>
              <c:numCache>
                <c:formatCode>"$"#,##0</c:formatCode>
                <c:ptCount val="1"/>
                <c:pt idx="0">
                  <c:v>250000</c:v>
                </c:pt>
              </c:numCache>
            </c:numRef>
          </c:val>
          <c:extLst>
            <c:ext xmlns:c16="http://schemas.microsoft.com/office/drawing/2014/chart" uri="{C3380CC4-5D6E-409C-BE32-E72D297353CC}">
              <c16:uniqueId val="{00000000-CCE4-425E-BEF1-9B369E2E5B03}"/>
            </c:ext>
          </c:extLst>
        </c:ser>
        <c:ser>
          <c:idx val="1"/>
          <c:order val="1"/>
          <c:tx>
            <c:strRef>
              <c:extLst>
                <c:ext xmlns:c15="http://schemas.microsoft.com/office/drawing/2012/chart" uri="{02D57815-91ED-43cb-92C2-25804820EDAC}">
                  <c15:fullRef>
                    <c15:sqref>Charts!$A$3:$D$3</c15:sqref>
                  </c15:fullRef>
                  <c15:levelRef>
                    <c15:sqref>Charts!$D$3</c15:sqref>
                  </c15:levelRef>
                </c:ext>
              </c:extLst>
              <c:f>Charts!$D$3</c:f>
              <c:strCache>
                <c:ptCount val="4"/>
                <c:pt idx="0">
                  <c:v>2</c:v>
                </c:pt>
                <c:pt idx="1">
                  <c:v>1</c:v>
                </c:pt>
                <c:pt idx="2">
                  <c:v>21</c:v>
                </c:pt>
                <c:pt idx="3">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c:f>
              <c:numCache>
                <c:formatCode>"$"#,##0</c:formatCode>
                <c:ptCount val="1"/>
                <c:pt idx="0">
                  <c:v>50000</c:v>
                </c:pt>
              </c:numCache>
            </c:numRef>
          </c:val>
          <c:extLst>
            <c:ext xmlns:c16="http://schemas.microsoft.com/office/drawing/2014/chart" uri="{C3380CC4-5D6E-409C-BE32-E72D297353CC}">
              <c16:uniqueId val="{00000001-CCE4-425E-BEF1-9B369E2E5B03}"/>
            </c:ext>
          </c:extLst>
        </c:ser>
        <c:ser>
          <c:idx val="2"/>
          <c:order val="2"/>
          <c:tx>
            <c:strRef>
              <c:extLst>
                <c:ext xmlns:c15="http://schemas.microsoft.com/office/drawing/2012/chart" uri="{02D57815-91ED-43cb-92C2-25804820EDAC}">
                  <c15:fullRef>
                    <c15:sqref>Charts!$A$4:$D$4</c15:sqref>
                  </c15:fullRef>
                  <c15:levelRef>
                    <c15:sqref>Charts!$D$4</c15:sqref>
                  </c15:levelRef>
                </c:ext>
              </c:extLst>
              <c:f>Charts!$D$4</c:f>
              <c:strCache>
                <c:ptCount val="4"/>
                <c:pt idx="0">
                  <c:v>3</c:v>
                </c:pt>
                <c:pt idx="1">
                  <c:v>3</c:v>
                </c:pt>
                <c:pt idx="2">
                  <c:v>23</c:v>
                </c:pt>
                <c:pt idx="3">
                  <c:v>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Charts!$E$4</c:f>
              <c:numCache>
                <c:formatCode>"$"#,##0</c:formatCode>
                <c:ptCount val="1"/>
                <c:pt idx="0">
                  <c:v>170000</c:v>
                </c:pt>
              </c:numCache>
            </c:numRef>
          </c:val>
          <c:extLst>
            <c:ext xmlns:c16="http://schemas.microsoft.com/office/drawing/2014/chart" uri="{C3380CC4-5D6E-409C-BE32-E72D297353CC}">
              <c16:uniqueId val="{00000002-CCE4-425E-BEF1-9B369E2E5B03}"/>
            </c:ext>
          </c:extLst>
        </c:ser>
        <c:ser>
          <c:idx val="3"/>
          <c:order val="3"/>
          <c:tx>
            <c:strRef>
              <c:extLst>
                <c:ext xmlns:c15="http://schemas.microsoft.com/office/drawing/2012/chart" uri="{02D57815-91ED-43cb-92C2-25804820EDAC}">
                  <c15:fullRef>
                    <c15:sqref>Charts!$A$5:$D$5</c15:sqref>
                  </c15:fullRef>
                  <c15:levelRef>
                    <c15:sqref>Charts!$D$5</c15:sqref>
                  </c15:levelRef>
                </c:ext>
              </c:extLst>
              <c:f>Charts!$D$5</c:f>
              <c:strCache>
                <c:ptCount val="4"/>
                <c:pt idx="0">
                  <c:v>4</c:v>
                </c:pt>
                <c:pt idx="1">
                  <c:v>2</c:v>
                </c:pt>
                <c:pt idx="2">
                  <c:v>22</c:v>
                </c:pt>
                <c:pt idx="3">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Charts!$E$5</c:f>
              <c:numCache>
                <c:formatCode>"$"#,##0</c:formatCode>
                <c:ptCount val="1"/>
                <c:pt idx="0">
                  <c:v>25000</c:v>
                </c:pt>
              </c:numCache>
            </c:numRef>
          </c:val>
          <c:extLst>
            <c:ext xmlns:c16="http://schemas.microsoft.com/office/drawing/2014/chart" uri="{C3380CC4-5D6E-409C-BE32-E72D297353CC}">
              <c16:uniqueId val="{00000003-CCE4-425E-BEF1-9B369E2E5B03}"/>
            </c:ext>
          </c:extLst>
        </c:ser>
        <c:ser>
          <c:idx val="4"/>
          <c:order val="4"/>
          <c:tx>
            <c:strRef>
              <c:extLst>
                <c:ext xmlns:c15="http://schemas.microsoft.com/office/drawing/2012/chart" uri="{02D57815-91ED-43cb-92C2-25804820EDAC}">
                  <c15:fullRef>
                    <c15:sqref>Charts!$A$6:$D$6</c15:sqref>
                  </c15:fullRef>
                  <c15:levelRef>
                    <c15:sqref>Charts!$D$6</c15:sqref>
                  </c15:levelRef>
                </c:ext>
              </c:extLst>
              <c:f>Charts!$D$6</c:f>
              <c:strCache>
                <c:ptCount val="4"/>
                <c:pt idx="0">
                  <c:v>5</c:v>
                </c:pt>
                <c:pt idx="1">
                  <c:v>1</c:v>
                </c:pt>
                <c:pt idx="2">
                  <c:v>17</c:v>
                </c:pt>
                <c:pt idx="3">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Charts!$E$6</c:f>
              <c:numCache>
                <c:formatCode>"$"#,##0</c:formatCode>
                <c:ptCount val="1"/>
                <c:pt idx="0">
                  <c:v>10000</c:v>
                </c:pt>
              </c:numCache>
            </c:numRef>
          </c:val>
          <c:extLst>
            <c:ext xmlns:c16="http://schemas.microsoft.com/office/drawing/2014/chart" uri="{C3380CC4-5D6E-409C-BE32-E72D297353CC}">
              <c16:uniqueId val="{00000004-CCE4-425E-BEF1-9B369E2E5B03}"/>
            </c:ext>
          </c:extLst>
        </c:ser>
        <c:ser>
          <c:idx val="5"/>
          <c:order val="5"/>
          <c:tx>
            <c:strRef>
              <c:extLst>
                <c:ext xmlns:c15="http://schemas.microsoft.com/office/drawing/2012/chart" uri="{02D57815-91ED-43cb-92C2-25804820EDAC}">
                  <c15:fullRef>
                    <c15:sqref>Charts!$A$7:$D$7</c15:sqref>
                  </c15:fullRef>
                  <c15:levelRef>
                    <c15:sqref>Charts!$D$7</c15:sqref>
                  </c15:levelRef>
                </c:ext>
              </c:extLst>
              <c:f>Charts!$D$7</c:f>
              <c:strCache>
                <c:ptCount val="4"/>
                <c:pt idx="0">
                  <c:v>6</c:v>
                </c:pt>
                <c:pt idx="1">
                  <c:v>25</c:v>
                </c:pt>
                <c:pt idx="2">
                  <c:v>62</c:v>
                </c:pt>
                <c:pt idx="3">
                  <c:v>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Charts!$E$7</c:f>
              <c:numCache>
                <c:formatCode>"$"#,##0</c:formatCode>
                <c:ptCount val="1"/>
                <c:pt idx="0">
                  <c:v>5001000</c:v>
                </c:pt>
              </c:numCache>
            </c:numRef>
          </c:val>
          <c:extLst>
            <c:ext xmlns:c16="http://schemas.microsoft.com/office/drawing/2014/chart" uri="{C3380CC4-5D6E-409C-BE32-E72D297353CC}">
              <c16:uniqueId val="{00000005-CCE4-425E-BEF1-9B369E2E5B03}"/>
            </c:ext>
          </c:extLst>
        </c:ser>
        <c:ser>
          <c:idx val="6"/>
          <c:order val="6"/>
          <c:tx>
            <c:strRef>
              <c:extLst>
                <c:ext xmlns:c15="http://schemas.microsoft.com/office/drawing/2012/chart" uri="{02D57815-91ED-43cb-92C2-25804820EDAC}">
                  <c15:fullRef>
                    <c15:sqref>Charts!$A$8:$D$8</c15:sqref>
                  </c15:fullRef>
                  <c15:levelRef>
                    <c15:sqref>Charts!$D$8</c15:sqref>
                  </c15:levelRef>
                </c:ext>
              </c:extLst>
              <c:f>Charts!$D$8</c:f>
              <c:strCache>
                <c:ptCount val="4"/>
                <c:pt idx="0">
                  <c:v>7</c:v>
                </c:pt>
                <c:pt idx="1">
                  <c:v>19</c:v>
                </c:pt>
                <c:pt idx="2">
                  <c:v>54</c:v>
                </c:pt>
                <c:pt idx="3">
                  <c:v>Female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Charts!$E$8</c:f>
              <c:numCache>
                <c:formatCode>"$"#,##0</c:formatCode>
                <c:ptCount val="1"/>
                <c:pt idx="0">
                  <c:v>800000</c:v>
                </c:pt>
              </c:numCache>
            </c:numRef>
          </c:val>
          <c:extLst>
            <c:ext xmlns:c16="http://schemas.microsoft.com/office/drawing/2014/chart" uri="{C3380CC4-5D6E-409C-BE32-E72D297353CC}">
              <c16:uniqueId val="{00000006-CCE4-425E-BEF1-9B369E2E5B03}"/>
            </c:ext>
          </c:extLst>
        </c:ser>
        <c:ser>
          <c:idx val="7"/>
          <c:order val="7"/>
          <c:tx>
            <c:strRef>
              <c:extLst>
                <c:ext xmlns:c15="http://schemas.microsoft.com/office/drawing/2012/chart" uri="{02D57815-91ED-43cb-92C2-25804820EDAC}">
                  <c15:fullRef>
                    <c15:sqref>Charts!$A$9:$D$9</c15:sqref>
                  </c15:fullRef>
                  <c15:levelRef>
                    <c15:sqref>Charts!$D$9</c15:sqref>
                  </c15:levelRef>
                </c:ext>
              </c:extLst>
              <c:f>Charts!$D$9</c:f>
              <c:strCache>
                <c:ptCount val="4"/>
                <c:pt idx="0">
                  <c:v>8</c:v>
                </c:pt>
                <c:pt idx="1">
                  <c:v>2</c:v>
                </c:pt>
                <c:pt idx="2">
                  <c:v>21</c:v>
                </c:pt>
                <c:pt idx="3">
                  <c:v>Female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Charts!$E$9</c:f>
              <c:numCache>
                <c:formatCode>"$"#,##0</c:formatCode>
                <c:ptCount val="1"/>
                <c:pt idx="0">
                  <c:v>9000</c:v>
                </c:pt>
              </c:numCache>
            </c:numRef>
          </c:val>
          <c:extLst>
            <c:ext xmlns:c16="http://schemas.microsoft.com/office/drawing/2014/chart" uri="{C3380CC4-5D6E-409C-BE32-E72D297353CC}">
              <c16:uniqueId val="{00000007-CCE4-425E-BEF1-9B369E2E5B03}"/>
            </c:ext>
          </c:extLst>
        </c:ser>
        <c:ser>
          <c:idx val="8"/>
          <c:order val="8"/>
          <c:tx>
            <c:strRef>
              <c:extLst>
                <c:ext xmlns:c15="http://schemas.microsoft.com/office/drawing/2012/chart" uri="{02D57815-91ED-43cb-92C2-25804820EDAC}">
                  <c15:fullRef>
                    <c15:sqref>Charts!$A$10:$D$10</c15:sqref>
                  </c15:fullRef>
                  <c15:levelRef>
                    <c15:sqref>Charts!$D$10</c15:sqref>
                  </c15:levelRef>
                </c:ext>
              </c:extLst>
              <c:f>Charts!$D$10</c:f>
              <c:strCache>
                <c:ptCount val="4"/>
                <c:pt idx="0">
                  <c:v>9</c:v>
                </c:pt>
                <c:pt idx="1">
                  <c:v>10</c:v>
                </c:pt>
                <c:pt idx="2">
                  <c:v>36</c:v>
                </c:pt>
                <c:pt idx="3">
                  <c:v>Female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Charts!$E$10</c:f>
              <c:numCache>
                <c:formatCode>"$"#,##0</c:formatCode>
                <c:ptCount val="1"/>
                <c:pt idx="0">
                  <c:v>61500</c:v>
                </c:pt>
              </c:numCache>
            </c:numRef>
          </c:val>
          <c:extLst>
            <c:ext xmlns:c16="http://schemas.microsoft.com/office/drawing/2014/chart" uri="{C3380CC4-5D6E-409C-BE32-E72D297353CC}">
              <c16:uniqueId val="{00000008-CCE4-425E-BEF1-9B369E2E5B03}"/>
            </c:ext>
          </c:extLst>
        </c:ser>
        <c:ser>
          <c:idx val="9"/>
          <c:order val="9"/>
          <c:tx>
            <c:strRef>
              <c:extLst>
                <c:ext xmlns:c15="http://schemas.microsoft.com/office/drawing/2012/chart" uri="{02D57815-91ED-43cb-92C2-25804820EDAC}">
                  <c15:fullRef>
                    <c15:sqref>Charts!$A$11:$D$11</c15:sqref>
                  </c15:fullRef>
                  <c15:levelRef>
                    <c15:sqref>Charts!$D$11</c15:sqref>
                  </c15:levelRef>
                </c:ext>
              </c:extLst>
              <c:f>Charts!$D$11</c:f>
              <c:strCache>
                <c:ptCount val="4"/>
                <c:pt idx="0">
                  <c:v>10</c:v>
                </c:pt>
                <c:pt idx="1">
                  <c:v>15</c:v>
                </c:pt>
                <c:pt idx="2">
                  <c:v>54</c:v>
                </c:pt>
                <c:pt idx="3">
                  <c:v>Female</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Charts!$E$11</c:f>
              <c:numCache>
                <c:formatCode>"$"#,##0</c:formatCode>
                <c:ptCount val="1"/>
                <c:pt idx="0">
                  <c:v>650000</c:v>
                </c:pt>
              </c:numCache>
            </c:numRef>
          </c:val>
          <c:extLst>
            <c:ext xmlns:c16="http://schemas.microsoft.com/office/drawing/2014/chart" uri="{C3380CC4-5D6E-409C-BE32-E72D297353CC}">
              <c16:uniqueId val="{00000009-CCE4-425E-BEF1-9B369E2E5B03}"/>
            </c:ext>
          </c:extLst>
        </c:ser>
        <c:ser>
          <c:idx val="10"/>
          <c:order val="10"/>
          <c:tx>
            <c:strRef>
              <c:extLst>
                <c:ext xmlns:c15="http://schemas.microsoft.com/office/drawing/2012/chart" uri="{02D57815-91ED-43cb-92C2-25804820EDAC}">
                  <c15:fullRef>
                    <c15:sqref>Charts!$A$12:$D$12</c15:sqref>
                  </c15:fullRef>
                  <c15:levelRef>
                    <c15:sqref>Charts!$D$12</c15:sqref>
                  </c15:levelRef>
                </c:ext>
              </c:extLst>
              <c:f>Charts!$D$12</c:f>
              <c:strCache>
                <c:ptCount val="4"/>
                <c:pt idx="0">
                  <c:v>11</c:v>
                </c:pt>
                <c:pt idx="1">
                  <c:v>4</c:v>
                </c:pt>
                <c:pt idx="2">
                  <c:v>26</c:v>
                </c:pt>
                <c:pt idx="3">
                  <c:v>Female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Charts!$E$12</c:f>
              <c:numCache>
                <c:formatCode>"$"#,##0</c:formatCode>
                <c:ptCount val="1"/>
                <c:pt idx="0">
                  <c:v>250000</c:v>
                </c:pt>
              </c:numCache>
            </c:numRef>
          </c:val>
          <c:extLst>
            <c:ext xmlns:c16="http://schemas.microsoft.com/office/drawing/2014/chart" uri="{C3380CC4-5D6E-409C-BE32-E72D297353CC}">
              <c16:uniqueId val="{0000000A-CCE4-425E-BEF1-9B369E2E5B03}"/>
            </c:ext>
          </c:extLst>
        </c:ser>
        <c:ser>
          <c:idx val="11"/>
          <c:order val="11"/>
          <c:tx>
            <c:strRef>
              <c:extLst>
                <c:ext xmlns:c15="http://schemas.microsoft.com/office/drawing/2012/chart" uri="{02D57815-91ED-43cb-92C2-25804820EDAC}">
                  <c15:fullRef>
                    <c15:sqref>Charts!$A$13:$D$13</c15:sqref>
                  </c15:fullRef>
                  <c15:levelRef>
                    <c15:sqref>Charts!$D$13</c15:sqref>
                  </c15:levelRef>
                </c:ext>
              </c:extLst>
              <c:f>Charts!$D$13</c:f>
              <c:strCache>
                <c:ptCount val="4"/>
                <c:pt idx="0">
                  <c:v>12</c:v>
                </c:pt>
                <c:pt idx="1">
                  <c:v>6</c:v>
                </c:pt>
                <c:pt idx="2">
                  <c:v>29</c:v>
                </c:pt>
                <c:pt idx="3">
                  <c:v>Male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Charts!$E$13</c:f>
              <c:numCache>
                <c:formatCode>"$"#,##0</c:formatCode>
                <c:ptCount val="1"/>
                <c:pt idx="0">
                  <c:v>1400000</c:v>
                </c:pt>
              </c:numCache>
            </c:numRef>
          </c:val>
          <c:extLst>
            <c:ext xmlns:c16="http://schemas.microsoft.com/office/drawing/2014/chart" uri="{C3380CC4-5D6E-409C-BE32-E72D297353CC}">
              <c16:uniqueId val="{0000000B-CCE4-425E-BEF1-9B369E2E5B03}"/>
            </c:ext>
          </c:extLst>
        </c:ser>
        <c:ser>
          <c:idx val="12"/>
          <c:order val="12"/>
          <c:tx>
            <c:strRef>
              <c:extLst>
                <c:ext xmlns:c15="http://schemas.microsoft.com/office/drawing/2012/chart" uri="{02D57815-91ED-43cb-92C2-25804820EDAC}">
                  <c15:fullRef>
                    <c15:sqref>Charts!$A$14:$D$14</c15:sqref>
                  </c15:fullRef>
                  <c15:levelRef>
                    <c15:sqref>Charts!$D$14</c15:sqref>
                  </c15:levelRef>
                </c:ext>
              </c:extLst>
              <c:f>Charts!$D$14</c:f>
              <c:strCache>
                <c:ptCount val="4"/>
                <c:pt idx="0">
                  <c:v>13</c:v>
                </c:pt>
                <c:pt idx="1">
                  <c:v>14</c:v>
                </c:pt>
                <c:pt idx="2">
                  <c:v>39</c:v>
                </c:pt>
                <c:pt idx="3">
                  <c:v>Male</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Charts!$E$14</c:f>
              <c:numCache>
                <c:formatCode>"$"#,##0</c:formatCode>
                <c:ptCount val="1"/>
                <c:pt idx="0">
                  <c:v>6000050</c:v>
                </c:pt>
              </c:numCache>
            </c:numRef>
          </c:val>
          <c:extLst>
            <c:ext xmlns:c16="http://schemas.microsoft.com/office/drawing/2014/chart" uri="{C3380CC4-5D6E-409C-BE32-E72D297353CC}">
              <c16:uniqueId val="{0000000C-CCE4-425E-BEF1-9B369E2E5B03}"/>
            </c:ext>
          </c:extLst>
        </c:ser>
        <c:ser>
          <c:idx val="13"/>
          <c:order val="13"/>
          <c:tx>
            <c:strRef>
              <c:extLst>
                <c:ext xmlns:c15="http://schemas.microsoft.com/office/drawing/2012/chart" uri="{02D57815-91ED-43cb-92C2-25804820EDAC}">
                  <c15:fullRef>
                    <c15:sqref>Charts!$A$15:$D$15</c15:sqref>
                  </c15:fullRef>
                  <c15:levelRef>
                    <c15:sqref>Charts!$D$15</c15:sqref>
                  </c15:levelRef>
                </c:ext>
              </c:extLst>
              <c:f>Charts!$D$15</c:f>
              <c:strCache>
                <c:ptCount val="4"/>
                <c:pt idx="0">
                  <c:v>14</c:v>
                </c:pt>
                <c:pt idx="1">
                  <c:v>11</c:v>
                </c:pt>
                <c:pt idx="2">
                  <c:v>40</c:v>
                </c:pt>
                <c:pt idx="3">
                  <c:v>Male</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Charts!$E$15</c:f>
              <c:numCache>
                <c:formatCode>"$"#,##0</c:formatCode>
                <c:ptCount val="1"/>
                <c:pt idx="0">
                  <c:v>220100</c:v>
                </c:pt>
              </c:numCache>
            </c:numRef>
          </c:val>
          <c:extLst>
            <c:ext xmlns:c16="http://schemas.microsoft.com/office/drawing/2014/chart" uri="{C3380CC4-5D6E-409C-BE32-E72D297353CC}">
              <c16:uniqueId val="{0000000D-CCE4-425E-BEF1-9B369E2E5B03}"/>
            </c:ext>
          </c:extLst>
        </c:ser>
        <c:ser>
          <c:idx val="14"/>
          <c:order val="14"/>
          <c:tx>
            <c:strRef>
              <c:extLst>
                <c:ext xmlns:c15="http://schemas.microsoft.com/office/drawing/2012/chart" uri="{02D57815-91ED-43cb-92C2-25804820EDAC}">
                  <c15:fullRef>
                    <c15:sqref>Charts!$A$16:$D$16</c15:sqref>
                  </c15:fullRef>
                  <c15:levelRef>
                    <c15:sqref>Charts!$D$16</c15:sqref>
                  </c15:levelRef>
                </c:ext>
              </c:extLst>
              <c:f>Charts!$D$16</c:f>
              <c:strCache>
                <c:ptCount val="4"/>
                <c:pt idx="0">
                  <c:v>15</c:v>
                </c:pt>
                <c:pt idx="1">
                  <c:v>2</c:v>
                </c:pt>
                <c:pt idx="2">
                  <c:v>23</c:v>
                </c:pt>
                <c:pt idx="3">
                  <c:v>Male</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Charts!$E$16</c:f>
              <c:numCache>
                <c:formatCode>"$"#,##0</c:formatCode>
                <c:ptCount val="1"/>
                <c:pt idx="0">
                  <c:v>7500</c:v>
                </c:pt>
              </c:numCache>
            </c:numRef>
          </c:val>
          <c:extLst>
            <c:ext xmlns:c16="http://schemas.microsoft.com/office/drawing/2014/chart" uri="{C3380CC4-5D6E-409C-BE32-E72D297353CC}">
              <c16:uniqueId val="{0000000E-CCE4-425E-BEF1-9B369E2E5B03}"/>
            </c:ext>
          </c:extLst>
        </c:ser>
        <c:ser>
          <c:idx val="15"/>
          <c:order val="15"/>
          <c:tx>
            <c:strRef>
              <c:extLst>
                <c:ext xmlns:c15="http://schemas.microsoft.com/office/drawing/2012/chart" uri="{02D57815-91ED-43cb-92C2-25804820EDAC}">
                  <c15:fullRef>
                    <c15:sqref>Charts!$A$17:$D$17</c15:sqref>
                  </c15:fullRef>
                  <c15:levelRef>
                    <c15:sqref>Charts!$D$17</c15:sqref>
                  </c15:levelRef>
                </c:ext>
              </c:extLst>
              <c:f>Charts!$D$17</c:f>
              <c:strCache>
                <c:ptCount val="4"/>
                <c:pt idx="0">
                  <c:v>16</c:v>
                </c:pt>
                <c:pt idx="1">
                  <c:v>4</c:v>
                </c:pt>
                <c:pt idx="2">
                  <c:v>27</c:v>
                </c:pt>
                <c:pt idx="3">
                  <c:v>Female</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Charts!$E$17</c:f>
              <c:numCache>
                <c:formatCode>"$"#,##0</c:formatCode>
                <c:ptCount val="1"/>
                <c:pt idx="0">
                  <c:v>87000</c:v>
                </c:pt>
              </c:numCache>
            </c:numRef>
          </c:val>
          <c:extLst>
            <c:ext xmlns:c16="http://schemas.microsoft.com/office/drawing/2014/chart" uri="{C3380CC4-5D6E-409C-BE32-E72D297353CC}">
              <c16:uniqueId val="{0000000F-CCE4-425E-BEF1-9B369E2E5B03}"/>
            </c:ext>
          </c:extLst>
        </c:ser>
        <c:ser>
          <c:idx val="16"/>
          <c:order val="16"/>
          <c:tx>
            <c:strRef>
              <c:extLst>
                <c:ext xmlns:c15="http://schemas.microsoft.com/office/drawing/2012/chart" uri="{02D57815-91ED-43cb-92C2-25804820EDAC}">
                  <c15:fullRef>
                    <c15:sqref>Charts!$A$18:$D$18</c15:sqref>
                  </c15:fullRef>
                  <c15:levelRef>
                    <c15:sqref>Charts!$D$18</c15:sqref>
                  </c15:levelRef>
                </c:ext>
              </c:extLst>
              <c:f>Charts!$D$18</c:f>
              <c:strCache>
                <c:ptCount val="4"/>
                <c:pt idx="0">
                  <c:v>17</c:v>
                </c:pt>
                <c:pt idx="1">
                  <c:v>10</c:v>
                </c:pt>
                <c:pt idx="2">
                  <c:v>34</c:v>
                </c:pt>
                <c:pt idx="3">
                  <c:v>Female</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Charts!$E$18</c:f>
              <c:numCache>
                <c:formatCode>"$"#,##0</c:formatCode>
                <c:ptCount val="1"/>
                <c:pt idx="0">
                  <c:v>930000</c:v>
                </c:pt>
              </c:numCache>
            </c:numRef>
          </c:val>
          <c:extLst>
            <c:ext xmlns:c16="http://schemas.microsoft.com/office/drawing/2014/chart" uri="{C3380CC4-5D6E-409C-BE32-E72D297353CC}">
              <c16:uniqueId val="{00000010-CCE4-425E-BEF1-9B369E2E5B03}"/>
            </c:ext>
          </c:extLst>
        </c:ser>
        <c:ser>
          <c:idx val="17"/>
          <c:order val="17"/>
          <c:tx>
            <c:strRef>
              <c:extLst>
                <c:ext xmlns:c15="http://schemas.microsoft.com/office/drawing/2012/chart" uri="{02D57815-91ED-43cb-92C2-25804820EDAC}">
                  <c15:fullRef>
                    <c15:sqref>Charts!$A$19:$D$19</c15:sqref>
                  </c15:fullRef>
                  <c15:levelRef>
                    <c15:sqref>Charts!$D$19</c15:sqref>
                  </c15:levelRef>
                </c:ext>
              </c:extLst>
              <c:f>Charts!$D$19</c:f>
              <c:strCache>
                <c:ptCount val="4"/>
                <c:pt idx="0">
                  <c:v>18</c:v>
                </c:pt>
                <c:pt idx="1">
                  <c:v>15</c:v>
                </c:pt>
                <c:pt idx="2">
                  <c:v>54</c:v>
                </c:pt>
                <c:pt idx="3">
                  <c:v>Female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Charts!$E$19</c:f>
              <c:numCache>
                <c:formatCode>"$"#,##0</c:formatCode>
                <c:ptCount val="1"/>
                <c:pt idx="0">
                  <c:v>7900000</c:v>
                </c:pt>
              </c:numCache>
            </c:numRef>
          </c:val>
          <c:extLst>
            <c:ext xmlns:c16="http://schemas.microsoft.com/office/drawing/2014/chart" uri="{C3380CC4-5D6E-409C-BE32-E72D297353CC}">
              <c16:uniqueId val="{00000011-CCE4-425E-BEF1-9B369E2E5B03}"/>
            </c:ext>
          </c:extLst>
        </c:ser>
        <c:ser>
          <c:idx val="18"/>
          <c:order val="18"/>
          <c:tx>
            <c:strRef>
              <c:extLst>
                <c:ext xmlns:c15="http://schemas.microsoft.com/office/drawing/2012/chart" uri="{02D57815-91ED-43cb-92C2-25804820EDAC}">
                  <c15:fullRef>
                    <c15:sqref>Charts!$A$20:$D$20</c15:sqref>
                  </c15:fullRef>
                  <c15:levelRef>
                    <c15:sqref>Charts!$D$20</c15:sqref>
                  </c15:levelRef>
                </c:ext>
              </c:extLst>
              <c:f>Charts!$D$20</c:f>
              <c:strCache>
                <c:ptCount val="4"/>
                <c:pt idx="0">
                  <c:v>19</c:v>
                </c:pt>
                <c:pt idx="1">
                  <c:v>2</c:v>
                </c:pt>
                <c:pt idx="2">
                  <c:v>21</c:v>
                </c:pt>
                <c:pt idx="3">
                  <c:v>Male</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Charts!$E$20</c:f>
              <c:numCache>
                <c:formatCode>"$"#,##0</c:formatCode>
                <c:ptCount val="1"/>
                <c:pt idx="0">
                  <c:v>15000</c:v>
                </c:pt>
              </c:numCache>
            </c:numRef>
          </c:val>
          <c:extLst>
            <c:ext xmlns:c16="http://schemas.microsoft.com/office/drawing/2014/chart" uri="{C3380CC4-5D6E-409C-BE32-E72D297353CC}">
              <c16:uniqueId val="{00000012-CCE4-425E-BEF1-9B369E2E5B03}"/>
            </c:ext>
          </c:extLst>
        </c:ser>
        <c:ser>
          <c:idx val="19"/>
          <c:order val="19"/>
          <c:tx>
            <c:strRef>
              <c:extLst>
                <c:ext xmlns:c15="http://schemas.microsoft.com/office/drawing/2012/chart" uri="{02D57815-91ED-43cb-92C2-25804820EDAC}">
                  <c15:fullRef>
                    <c15:sqref>Charts!$A$21:$D$21</c15:sqref>
                  </c15:fullRef>
                  <c15:levelRef>
                    <c15:sqref>Charts!$D$21</c15:sqref>
                  </c15:levelRef>
                </c:ext>
              </c:extLst>
              <c:f>Charts!$D$21</c:f>
              <c:strCache>
                <c:ptCount val="4"/>
                <c:pt idx="0">
                  <c:v>20</c:v>
                </c:pt>
                <c:pt idx="1">
                  <c:v>10</c:v>
                </c:pt>
                <c:pt idx="2">
                  <c:v>36</c:v>
                </c:pt>
                <c:pt idx="3">
                  <c:v>Male</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Charts!$E$21</c:f>
              <c:numCache>
                <c:formatCode>"$"#,##0</c:formatCode>
                <c:ptCount val="1"/>
                <c:pt idx="0">
                  <c:v>330000</c:v>
                </c:pt>
              </c:numCache>
            </c:numRef>
          </c:val>
          <c:extLst>
            <c:ext xmlns:c16="http://schemas.microsoft.com/office/drawing/2014/chart" uri="{C3380CC4-5D6E-409C-BE32-E72D297353CC}">
              <c16:uniqueId val="{00000013-CCE4-425E-BEF1-9B369E2E5B03}"/>
            </c:ext>
          </c:extLst>
        </c:ser>
        <c:ser>
          <c:idx val="20"/>
          <c:order val="20"/>
          <c:tx>
            <c:strRef>
              <c:extLst>
                <c:ext xmlns:c15="http://schemas.microsoft.com/office/drawing/2012/chart" uri="{02D57815-91ED-43cb-92C2-25804820EDAC}">
                  <c15:fullRef>
                    <c15:sqref>Charts!$A$22:$D$22</c15:sqref>
                  </c15:fullRef>
                  <c15:levelRef>
                    <c15:sqref>Charts!$D$22</c15:sqref>
                  </c15:levelRef>
                </c:ext>
              </c:extLst>
              <c:f>Charts!$D$22</c:f>
              <c:strCache>
                <c:ptCount val="4"/>
                <c:pt idx="0">
                  <c:v>21</c:v>
                </c:pt>
                <c:pt idx="1">
                  <c:v>15</c:v>
                </c:pt>
                <c:pt idx="2">
                  <c:v>54</c:v>
                </c:pt>
                <c:pt idx="3">
                  <c:v>Male</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Charts!$E$22</c:f>
              <c:numCache>
                <c:formatCode>"$"#,##0</c:formatCode>
                <c:ptCount val="1"/>
                <c:pt idx="0">
                  <c:v>6570000</c:v>
                </c:pt>
              </c:numCache>
            </c:numRef>
          </c:val>
          <c:extLst>
            <c:ext xmlns:c16="http://schemas.microsoft.com/office/drawing/2014/chart" uri="{C3380CC4-5D6E-409C-BE32-E72D297353CC}">
              <c16:uniqueId val="{00000014-CCE4-425E-BEF1-9B369E2E5B03}"/>
            </c:ext>
          </c:extLst>
        </c:ser>
        <c:ser>
          <c:idx val="21"/>
          <c:order val="21"/>
          <c:tx>
            <c:strRef>
              <c:extLst>
                <c:ext xmlns:c15="http://schemas.microsoft.com/office/drawing/2012/chart" uri="{02D57815-91ED-43cb-92C2-25804820EDAC}">
                  <c15:fullRef>
                    <c15:sqref>Charts!$A$23:$D$23</c15:sqref>
                  </c15:fullRef>
                  <c15:levelRef>
                    <c15:sqref>Charts!$D$23</c15:sqref>
                  </c15:levelRef>
                </c:ext>
              </c:extLst>
              <c:f>Charts!$D$23</c:f>
              <c:strCache>
                <c:ptCount val="4"/>
                <c:pt idx="0">
                  <c:v>22</c:v>
                </c:pt>
                <c:pt idx="1">
                  <c:v>4</c:v>
                </c:pt>
                <c:pt idx="2">
                  <c:v>26</c:v>
                </c:pt>
                <c:pt idx="3">
                  <c:v>Male</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Charts!$E$23</c:f>
              <c:numCache>
                <c:formatCode>"$"#,##0</c:formatCode>
                <c:ptCount val="1"/>
                <c:pt idx="0">
                  <c:v>25000</c:v>
                </c:pt>
              </c:numCache>
            </c:numRef>
          </c:val>
          <c:extLst>
            <c:ext xmlns:c16="http://schemas.microsoft.com/office/drawing/2014/chart" uri="{C3380CC4-5D6E-409C-BE32-E72D297353CC}">
              <c16:uniqueId val="{00000015-CCE4-425E-BEF1-9B369E2E5B03}"/>
            </c:ext>
          </c:extLst>
        </c:ser>
        <c:ser>
          <c:idx val="22"/>
          <c:order val="22"/>
          <c:tx>
            <c:strRef>
              <c:extLst>
                <c:ext xmlns:c15="http://schemas.microsoft.com/office/drawing/2012/chart" uri="{02D57815-91ED-43cb-92C2-25804820EDAC}">
                  <c15:fullRef>
                    <c15:sqref>Charts!$A$24:$D$24</c15:sqref>
                  </c15:fullRef>
                  <c15:levelRef>
                    <c15:sqref>Charts!$D$24</c15:sqref>
                  </c15:levelRef>
                </c:ext>
              </c:extLst>
              <c:f>Charts!$D$24</c:f>
              <c:strCache>
                <c:ptCount val="4"/>
                <c:pt idx="0">
                  <c:v>23</c:v>
                </c:pt>
                <c:pt idx="1">
                  <c:v>5</c:v>
                </c:pt>
                <c:pt idx="2">
                  <c:v>29</c:v>
                </c:pt>
                <c:pt idx="3">
                  <c:v>Male</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Charts!$E$24</c:f>
              <c:numCache>
                <c:formatCode>"$"#,##0</c:formatCode>
                <c:ptCount val="1"/>
                <c:pt idx="0">
                  <c:v>6845000</c:v>
                </c:pt>
              </c:numCache>
            </c:numRef>
          </c:val>
          <c:extLst>
            <c:ext xmlns:c16="http://schemas.microsoft.com/office/drawing/2014/chart" uri="{C3380CC4-5D6E-409C-BE32-E72D297353CC}">
              <c16:uniqueId val="{00000016-CCE4-425E-BEF1-9B369E2E5B03}"/>
            </c:ext>
          </c:extLst>
        </c:ser>
        <c:ser>
          <c:idx val="23"/>
          <c:order val="23"/>
          <c:tx>
            <c:strRef>
              <c:extLst>
                <c:ext xmlns:c15="http://schemas.microsoft.com/office/drawing/2012/chart" uri="{02D57815-91ED-43cb-92C2-25804820EDAC}">
                  <c15:fullRef>
                    <c15:sqref>Charts!$A$25:$D$25</c15:sqref>
                  </c15:fullRef>
                  <c15:levelRef>
                    <c15:sqref>Charts!$D$25</c15:sqref>
                  </c15:levelRef>
                </c:ext>
              </c:extLst>
              <c:f>Charts!$D$25</c:f>
              <c:strCache>
                <c:ptCount val="4"/>
                <c:pt idx="0">
                  <c:v>24</c:v>
                </c:pt>
                <c:pt idx="1">
                  <c:v>1</c:v>
                </c:pt>
                <c:pt idx="2">
                  <c:v>21</c:v>
                </c:pt>
                <c:pt idx="3">
                  <c:v>Female</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Charts!$E$25</c:f>
              <c:numCache>
                <c:formatCode>"$"#,##0</c:formatCode>
                <c:ptCount val="1"/>
                <c:pt idx="0">
                  <c:v>6000</c:v>
                </c:pt>
              </c:numCache>
            </c:numRef>
          </c:val>
          <c:extLst>
            <c:ext xmlns:c16="http://schemas.microsoft.com/office/drawing/2014/chart" uri="{C3380CC4-5D6E-409C-BE32-E72D297353CC}">
              <c16:uniqueId val="{00000017-CCE4-425E-BEF1-9B369E2E5B03}"/>
            </c:ext>
          </c:extLst>
        </c:ser>
        <c:ser>
          <c:idx val="24"/>
          <c:order val="24"/>
          <c:tx>
            <c:strRef>
              <c:extLst>
                <c:ext xmlns:c15="http://schemas.microsoft.com/office/drawing/2012/chart" uri="{02D57815-91ED-43cb-92C2-25804820EDAC}">
                  <c15:fullRef>
                    <c15:sqref>Charts!$A$26:$D$26</c15:sqref>
                  </c15:fullRef>
                  <c15:levelRef>
                    <c15:sqref>Charts!$D$26</c15:sqref>
                  </c15:levelRef>
                </c:ext>
              </c:extLst>
              <c:f>Charts!$D$26</c:f>
              <c:strCache>
                <c:ptCount val="4"/>
                <c:pt idx="0">
                  <c:v>25</c:v>
                </c:pt>
                <c:pt idx="1">
                  <c:v>4</c:v>
                </c:pt>
                <c:pt idx="2">
                  <c:v>23</c:v>
                </c:pt>
                <c:pt idx="3">
                  <c:v>Female</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Charts!$E$26</c:f>
              <c:numCache>
                <c:formatCode>"$"#,##0</c:formatCode>
                <c:ptCount val="1"/>
                <c:pt idx="0">
                  <c:v>8900</c:v>
                </c:pt>
              </c:numCache>
            </c:numRef>
          </c:val>
          <c:extLst>
            <c:ext xmlns:c16="http://schemas.microsoft.com/office/drawing/2014/chart" uri="{C3380CC4-5D6E-409C-BE32-E72D297353CC}">
              <c16:uniqueId val="{00000018-CCE4-425E-BEF1-9B369E2E5B03}"/>
            </c:ext>
          </c:extLst>
        </c:ser>
        <c:ser>
          <c:idx val="25"/>
          <c:order val="25"/>
          <c:tx>
            <c:strRef>
              <c:extLst>
                <c:ext xmlns:c15="http://schemas.microsoft.com/office/drawing/2012/chart" uri="{02D57815-91ED-43cb-92C2-25804820EDAC}">
                  <c15:fullRef>
                    <c15:sqref>Charts!$A$27:$D$27</c15:sqref>
                  </c15:fullRef>
                  <c15:levelRef>
                    <c15:sqref>Charts!$D$27</c15:sqref>
                  </c15:levelRef>
                </c:ext>
              </c:extLst>
              <c:f>Charts!$D$27</c:f>
              <c:strCache>
                <c:ptCount val="4"/>
                <c:pt idx="0">
                  <c:v>26</c:v>
                </c:pt>
                <c:pt idx="1">
                  <c:v>3</c:v>
                </c:pt>
                <c:pt idx="2">
                  <c:v>22</c:v>
                </c:pt>
                <c:pt idx="3">
                  <c:v>Female</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Charts!$E$27</c:f>
              <c:numCache>
                <c:formatCode>"$"#,##0</c:formatCode>
                <c:ptCount val="1"/>
                <c:pt idx="0">
                  <c:v>20000</c:v>
                </c:pt>
              </c:numCache>
            </c:numRef>
          </c:val>
          <c:extLst>
            <c:ext xmlns:c16="http://schemas.microsoft.com/office/drawing/2014/chart" uri="{C3380CC4-5D6E-409C-BE32-E72D297353CC}">
              <c16:uniqueId val="{00000019-CCE4-425E-BEF1-9B369E2E5B03}"/>
            </c:ext>
          </c:extLst>
        </c:ser>
        <c:ser>
          <c:idx val="26"/>
          <c:order val="26"/>
          <c:tx>
            <c:strRef>
              <c:extLst>
                <c:ext xmlns:c15="http://schemas.microsoft.com/office/drawing/2012/chart" uri="{02D57815-91ED-43cb-92C2-25804820EDAC}">
                  <c15:fullRef>
                    <c15:sqref>Charts!$A$28:$D$28</c15:sqref>
                  </c15:fullRef>
                  <c15:levelRef>
                    <c15:sqref>Charts!$D$28</c15:sqref>
                  </c15:levelRef>
                </c:ext>
              </c:extLst>
              <c:f>Charts!$D$28</c:f>
              <c:strCache>
                <c:ptCount val="4"/>
                <c:pt idx="0">
                  <c:v>27</c:v>
                </c:pt>
                <c:pt idx="1">
                  <c:v>1</c:v>
                </c:pt>
                <c:pt idx="2">
                  <c:v>18</c:v>
                </c:pt>
                <c:pt idx="3">
                  <c:v>Male</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Charts!$E$28</c:f>
              <c:numCache>
                <c:formatCode>"$"#,##0</c:formatCode>
                <c:ptCount val="1"/>
                <c:pt idx="0">
                  <c:v>3000</c:v>
                </c:pt>
              </c:numCache>
            </c:numRef>
          </c:val>
          <c:extLst>
            <c:ext xmlns:c16="http://schemas.microsoft.com/office/drawing/2014/chart" uri="{C3380CC4-5D6E-409C-BE32-E72D297353CC}">
              <c16:uniqueId val="{0000001A-CCE4-425E-BEF1-9B369E2E5B03}"/>
            </c:ext>
          </c:extLst>
        </c:ser>
        <c:ser>
          <c:idx val="27"/>
          <c:order val="27"/>
          <c:tx>
            <c:strRef>
              <c:extLst>
                <c:ext xmlns:c15="http://schemas.microsoft.com/office/drawing/2012/chart" uri="{02D57815-91ED-43cb-92C2-25804820EDAC}">
                  <c15:fullRef>
                    <c15:sqref>Charts!$A$29:$D$29</c15:sqref>
                  </c15:fullRef>
                  <c15:levelRef>
                    <c15:sqref>Charts!$D$29</c15:sqref>
                  </c15:levelRef>
                </c:ext>
              </c:extLst>
              <c:f>Charts!$D$29</c:f>
              <c:strCache>
                <c:ptCount val="4"/>
                <c:pt idx="0">
                  <c:v>28</c:v>
                </c:pt>
                <c:pt idx="1">
                  <c:v>27</c:v>
                </c:pt>
                <c:pt idx="2">
                  <c:v>62</c:v>
                </c:pt>
                <c:pt idx="3">
                  <c:v>Female</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Charts!$E$29</c:f>
              <c:numCache>
                <c:formatCode>"$"#,##0</c:formatCode>
                <c:ptCount val="1"/>
                <c:pt idx="0">
                  <c:v>10000000</c:v>
                </c:pt>
              </c:numCache>
            </c:numRef>
          </c:val>
          <c:extLst>
            <c:ext xmlns:c16="http://schemas.microsoft.com/office/drawing/2014/chart" uri="{C3380CC4-5D6E-409C-BE32-E72D297353CC}">
              <c16:uniqueId val="{0000001B-CCE4-425E-BEF1-9B369E2E5B03}"/>
            </c:ext>
          </c:extLst>
        </c:ser>
        <c:ser>
          <c:idx val="28"/>
          <c:order val="28"/>
          <c:tx>
            <c:strRef>
              <c:extLst>
                <c:ext xmlns:c15="http://schemas.microsoft.com/office/drawing/2012/chart" uri="{02D57815-91ED-43cb-92C2-25804820EDAC}">
                  <c15:fullRef>
                    <c15:sqref>Charts!$A$30:$D$30</c15:sqref>
                  </c15:fullRef>
                  <c15:levelRef>
                    <c15:sqref>Charts!$D$30</c15:sqref>
                  </c15:levelRef>
                </c:ext>
              </c:extLst>
              <c:f>Charts!$D$30</c:f>
              <c:strCache>
                <c:ptCount val="4"/>
                <c:pt idx="0">
                  <c:v>29</c:v>
                </c:pt>
                <c:pt idx="1">
                  <c:v>19</c:v>
                </c:pt>
                <c:pt idx="2">
                  <c:v>54</c:v>
                </c:pt>
                <c:pt idx="3">
                  <c:v>Female</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Charts!$E$30</c:f>
              <c:numCache>
                <c:formatCode>"$"#,##0</c:formatCode>
                <c:ptCount val="1"/>
                <c:pt idx="0">
                  <c:v>5000000</c:v>
                </c:pt>
              </c:numCache>
            </c:numRef>
          </c:val>
          <c:extLst>
            <c:ext xmlns:c16="http://schemas.microsoft.com/office/drawing/2014/chart" uri="{C3380CC4-5D6E-409C-BE32-E72D297353CC}">
              <c16:uniqueId val="{0000001C-CCE4-425E-BEF1-9B369E2E5B03}"/>
            </c:ext>
          </c:extLst>
        </c:ser>
        <c:ser>
          <c:idx val="29"/>
          <c:order val="29"/>
          <c:tx>
            <c:strRef>
              <c:extLst>
                <c:ext xmlns:c15="http://schemas.microsoft.com/office/drawing/2012/chart" uri="{02D57815-91ED-43cb-92C2-25804820EDAC}">
                  <c15:fullRef>
                    <c15:sqref>Charts!$A$31:$D$31</c15:sqref>
                  </c15:fullRef>
                  <c15:levelRef>
                    <c15:sqref>Charts!$D$31</c15:sqref>
                  </c15:levelRef>
                </c:ext>
              </c:extLst>
              <c:f>Charts!$D$31</c:f>
              <c:strCache>
                <c:ptCount val="4"/>
                <c:pt idx="0">
                  <c:v>30</c:v>
                </c:pt>
                <c:pt idx="1">
                  <c:v>2</c:v>
                </c:pt>
                <c:pt idx="2">
                  <c:v>21</c:v>
                </c:pt>
                <c:pt idx="3">
                  <c:v>Female</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Charts!$E$31</c:f>
              <c:numCache>
                <c:formatCode>"$"#,##0</c:formatCode>
                <c:ptCount val="1"/>
                <c:pt idx="0">
                  <c:v>6100</c:v>
                </c:pt>
              </c:numCache>
            </c:numRef>
          </c:val>
          <c:extLst>
            <c:ext xmlns:c16="http://schemas.microsoft.com/office/drawing/2014/chart" uri="{C3380CC4-5D6E-409C-BE32-E72D297353CC}">
              <c16:uniqueId val="{0000001D-CCE4-425E-BEF1-9B369E2E5B03}"/>
            </c:ext>
          </c:extLst>
        </c:ser>
        <c:ser>
          <c:idx val="30"/>
          <c:order val="30"/>
          <c:tx>
            <c:strRef>
              <c:extLst>
                <c:ext xmlns:c15="http://schemas.microsoft.com/office/drawing/2012/chart" uri="{02D57815-91ED-43cb-92C2-25804820EDAC}">
                  <c15:fullRef>
                    <c15:sqref>Charts!$A$32:$D$32</c15:sqref>
                  </c15:fullRef>
                  <c15:levelRef>
                    <c15:sqref>Charts!$D$32</c15:sqref>
                  </c15:levelRef>
                </c:ext>
              </c:extLst>
              <c:f>Charts!$D$32</c:f>
              <c:strCache>
                <c:ptCount val="4"/>
                <c:pt idx="0">
                  <c:v>31</c:v>
                </c:pt>
                <c:pt idx="1">
                  <c:v>10</c:v>
                </c:pt>
                <c:pt idx="2">
                  <c:v>34</c:v>
                </c:pt>
                <c:pt idx="3">
                  <c:v>Male</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Charts!$E$32</c:f>
              <c:numCache>
                <c:formatCode>"$"#,##0</c:formatCode>
                <c:ptCount val="1"/>
                <c:pt idx="0">
                  <c:v>80000</c:v>
                </c:pt>
              </c:numCache>
            </c:numRef>
          </c:val>
          <c:extLst>
            <c:ext xmlns:c16="http://schemas.microsoft.com/office/drawing/2014/chart" uri="{C3380CC4-5D6E-409C-BE32-E72D297353CC}">
              <c16:uniqueId val="{0000001E-CCE4-425E-BEF1-9B369E2E5B03}"/>
            </c:ext>
          </c:extLst>
        </c:ser>
        <c:ser>
          <c:idx val="31"/>
          <c:order val="31"/>
          <c:tx>
            <c:strRef>
              <c:extLst>
                <c:ext xmlns:c15="http://schemas.microsoft.com/office/drawing/2012/chart" uri="{02D57815-91ED-43cb-92C2-25804820EDAC}">
                  <c15:fullRef>
                    <c15:sqref>Charts!$A$33:$D$33</c15:sqref>
                  </c15:fullRef>
                  <c15:levelRef>
                    <c15:sqref>Charts!$D$33</c15:sqref>
                  </c15:levelRef>
                </c:ext>
              </c:extLst>
              <c:f>Charts!$D$33</c:f>
              <c:strCache>
                <c:ptCount val="4"/>
                <c:pt idx="0">
                  <c:v>32</c:v>
                </c:pt>
                <c:pt idx="1">
                  <c:v>15</c:v>
                </c:pt>
                <c:pt idx="2">
                  <c:v>54</c:v>
                </c:pt>
                <c:pt idx="3">
                  <c:v>Male</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Charts!$E$33</c:f>
              <c:numCache>
                <c:formatCode>"$"#,##0</c:formatCode>
                <c:ptCount val="1"/>
                <c:pt idx="0">
                  <c:v>900000</c:v>
                </c:pt>
              </c:numCache>
            </c:numRef>
          </c:val>
          <c:extLst>
            <c:ext xmlns:c16="http://schemas.microsoft.com/office/drawing/2014/chart" uri="{C3380CC4-5D6E-409C-BE32-E72D297353CC}">
              <c16:uniqueId val="{0000001F-CCE4-425E-BEF1-9B369E2E5B03}"/>
            </c:ext>
          </c:extLst>
        </c:ser>
        <c:ser>
          <c:idx val="32"/>
          <c:order val="32"/>
          <c:tx>
            <c:strRef>
              <c:extLst>
                <c:ext xmlns:c15="http://schemas.microsoft.com/office/drawing/2012/chart" uri="{02D57815-91ED-43cb-92C2-25804820EDAC}">
                  <c15:fullRef>
                    <c15:sqref>Charts!$A$34:$D$34</c15:sqref>
                  </c15:fullRef>
                  <c15:levelRef>
                    <c15:sqref>Charts!$D$34</c15:sqref>
                  </c15:levelRef>
                </c:ext>
              </c:extLst>
              <c:f>Charts!$D$34</c:f>
              <c:strCache>
                <c:ptCount val="4"/>
                <c:pt idx="0">
                  <c:v>33</c:v>
                </c:pt>
                <c:pt idx="1">
                  <c:v>20</c:v>
                </c:pt>
                <c:pt idx="2">
                  <c:v>55</c:v>
                </c:pt>
                <c:pt idx="3">
                  <c:v>Female</c:v>
                </c:pt>
              </c:strCache>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Charts!$E$34</c:f>
              <c:numCache>
                <c:formatCode>"$"#,##0</c:formatCode>
                <c:ptCount val="1"/>
                <c:pt idx="0">
                  <c:v>1540000</c:v>
                </c:pt>
              </c:numCache>
            </c:numRef>
          </c:val>
          <c:extLst>
            <c:ext xmlns:c16="http://schemas.microsoft.com/office/drawing/2014/chart" uri="{C3380CC4-5D6E-409C-BE32-E72D297353CC}">
              <c16:uniqueId val="{00000020-CCE4-425E-BEF1-9B369E2E5B03}"/>
            </c:ext>
          </c:extLst>
        </c:ser>
        <c:ser>
          <c:idx val="33"/>
          <c:order val="33"/>
          <c:tx>
            <c:strRef>
              <c:extLst>
                <c:ext xmlns:c15="http://schemas.microsoft.com/office/drawing/2012/chart" uri="{02D57815-91ED-43cb-92C2-25804820EDAC}">
                  <c15:fullRef>
                    <c15:sqref>Charts!$A$35:$D$35</c15:sqref>
                  </c15:fullRef>
                  <c15:levelRef>
                    <c15:sqref>Charts!$D$35</c15:sqref>
                  </c15:levelRef>
                </c:ext>
              </c:extLst>
              <c:f>Charts!$D$35</c:f>
              <c:strCache>
                <c:ptCount val="4"/>
                <c:pt idx="0">
                  <c:v>34</c:v>
                </c:pt>
                <c:pt idx="1">
                  <c:v>19</c:v>
                </c:pt>
                <c:pt idx="2">
                  <c:v>53</c:v>
                </c:pt>
                <c:pt idx="3">
                  <c:v>Female</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Charts!$E$35</c:f>
              <c:numCache>
                <c:formatCode>"$"#,##0</c:formatCode>
                <c:ptCount val="1"/>
                <c:pt idx="0">
                  <c:v>9300000</c:v>
                </c:pt>
              </c:numCache>
            </c:numRef>
          </c:val>
          <c:extLst>
            <c:ext xmlns:c16="http://schemas.microsoft.com/office/drawing/2014/chart" uri="{C3380CC4-5D6E-409C-BE32-E72D297353CC}">
              <c16:uniqueId val="{00000021-CCE4-425E-BEF1-9B369E2E5B03}"/>
            </c:ext>
          </c:extLst>
        </c:ser>
        <c:ser>
          <c:idx val="34"/>
          <c:order val="34"/>
          <c:tx>
            <c:strRef>
              <c:extLst>
                <c:ext xmlns:c15="http://schemas.microsoft.com/office/drawing/2012/chart" uri="{02D57815-91ED-43cb-92C2-25804820EDAC}">
                  <c15:fullRef>
                    <c15:sqref>Charts!$A$36:$D$36</c15:sqref>
                  </c15:fullRef>
                  <c15:levelRef>
                    <c15:sqref>Charts!$D$36</c15:sqref>
                  </c15:levelRef>
                </c:ext>
              </c:extLst>
              <c:f>Charts!$D$36</c:f>
              <c:strCache>
                <c:ptCount val="4"/>
                <c:pt idx="0">
                  <c:v>35</c:v>
                </c:pt>
                <c:pt idx="1">
                  <c:v>16</c:v>
                </c:pt>
                <c:pt idx="2">
                  <c:v>49</c:v>
                </c:pt>
                <c:pt idx="3">
                  <c:v>Male</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Charts!$E$1</c:f>
              <c:strCache>
                <c:ptCount val="1"/>
                <c:pt idx="0">
                  <c:v>Salary</c:v>
                </c:pt>
              </c:strCache>
            </c:strRef>
          </c:cat>
          <c:val>
            <c:numRef>
              <c:f>Charts!$E$36</c:f>
              <c:numCache>
                <c:formatCode>"$"#,##0</c:formatCode>
                <c:ptCount val="1"/>
                <c:pt idx="0">
                  <c:v>7600000</c:v>
                </c:pt>
              </c:numCache>
            </c:numRef>
          </c:val>
          <c:extLst>
            <c:ext xmlns:c16="http://schemas.microsoft.com/office/drawing/2014/chart" uri="{C3380CC4-5D6E-409C-BE32-E72D297353CC}">
              <c16:uniqueId val="{00000022-CCE4-425E-BEF1-9B369E2E5B03}"/>
            </c:ext>
          </c:extLst>
        </c:ser>
        <c:dLbls>
          <c:showLegendKey val="0"/>
          <c:showVal val="0"/>
          <c:showCatName val="0"/>
          <c:showSerName val="0"/>
          <c:showPercent val="0"/>
          <c:showBubbleSize val="0"/>
        </c:dLbls>
        <c:gapWidth val="100"/>
        <c:overlap val="-24"/>
        <c:axId val="601406752"/>
        <c:axId val="601408192"/>
      </c:barChart>
      <c:catAx>
        <c:axId val="601406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408192"/>
        <c:crosses val="autoZero"/>
        <c:auto val="1"/>
        <c:lblAlgn val="ctr"/>
        <c:lblOffset val="100"/>
        <c:noMultiLvlLbl val="0"/>
      </c:catAx>
      <c:valAx>
        <c:axId val="601408192"/>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40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by Age</a:t>
            </a:r>
          </a:p>
        </c:rich>
      </c:tx>
      <c:layout>
        <c:manualLayout>
          <c:xMode val="edge"/>
          <c:yMode val="edge"/>
          <c:x val="0.3692915573053368"/>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Charts!$E$1</c:f>
              <c:strCache>
                <c:ptCount val="1"/>
                <c:pt idx="0">
                  <c:v>Salary</c:v>
                </c:pt>
              </c:strCache>
            </c:strRef>
          </c:tx>
          <c:spPr>
            <a:ln>
              <a:solidFill>
                <a:schemeClr val="accent1">
                  <a:alpha val="70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41-4347-B27C-AB006D1911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41-4347-B27C-AB006D1911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41-4347-B27C-AB006D1911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41-4347-B27C-AB006D1911B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41-4347-B27C-AB006D1911B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41-4347-B27C-AB006D1911B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41-4347-B27C-AB006D1911B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41-4347-B27C-AB006D1911B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41-4347-B27C-AB006D1911B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41-4347-B27C-AB006D1911B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41-4347-B27C-AB006D1911B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41-4347-B27C-AB006D1911B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41-4347-B27C-AB006D1911B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41-4347-B27C-AB006D1911B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41-4347-B27C-AB006D1911B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41-4347-B27C-AB006D1911B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41-4347-B27C-AB006D1911B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41-4347-B27C-AB006D1911B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41-4347-B27C-AB006D1911B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41-4347-B27C-AB006D1911B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41-4347-B27C-AB006D1911B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41-4347-B27C-AB006D1911B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41-4347-B27C-AB006D1911B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41-4347-B27C-AB006D1911B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41-4347-B27C-AB006D1911B3}"/>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41-4347-B27C-AB006D1911B3}"/>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41-4347-B27C-AB006D1911B3}"/>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41-4347-B27C-AB006D1911B3}"/>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41-4347-B27C-AB006D1911B3}"/>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41-4347-B27C-AB006D1911B3}"/>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41-4347-B27C-AB006D1911B3}"/>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41-4347-B27C-AB006D1911B3}"/>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41-4347-B27C-AB006D1911B3}"/>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41-4347-B27C-AB006D1911B3}"/>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solidFill>
                  <a:schemeClr val="accent1">
                    <a:alpha val="7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41-4347-B27C-AB006D1911B3}"/>
              </c:ext>
            </c:extLst>
          </c:dPt>
          <c:cat>
            <c:strRef>
              <c:extLst>
                <c:ext xmlns:c15="http://schemas.microsoft.com/office/drawing/2012/chart" uri="{02D57815-91ED-43cb-92C2-25804820EDAC}">
                  <c15:fullRef>
                    <c15:sqref>Charts!$A$2:$D$36</c15:sqref>
                  </c15:fullRef>
                  <c15:levelRef>
                    <c15:sqref>Charts!$C$2:$C$36</c15:sqref>
                  </c15:levelRef>
                </c:ext>
              </c:extLst>
              <c:f>Charts!$C$2:$C$36</c:f>
              <c:strCache>
                <c:ptCount val="35"/>
                <c:pt idx="0">
                  <c:v>28</c:v>
                </c:pt>
                <c:pt idx="1">
                  <c:v>21</c:v>
                </c:pt>
                <c:pt idx="2">
                  <c:v>23</c:v>
                </c:pt>
                <c:pt idx="3">
                  <c:v>22</c:v>
                </c:pt>
                <c:pt idx="4">
                  <c:v>17</c:v>
                </c:pt>
                <c:pt idx="5">
                  <c:v>62</c:v>
                </c:pt>
                <c:pt idx="6">
                  <c:v>54</c:v>
                </c:pt>
                <c:pt idx="7">
                  <c:v>21</c:v>
                </c:pt>
                <c:pt idx="8">
                  <c:v>36</c:v>
                </c:pt>
                <c:pt idx="9">
                  <c:v>54</c:v>
                </c:pt>
                <c:pt idx="10">
                  <c:v>26</c:v>
                </c:pt>
                <c:pt idx="11">
                  <c:v>29</c:v>
                </c:pt>
                <c:pt idx="12">
                  <c:v>39</c:v>
                </c:pt>
                <c:pt idx="13">
                  <c:v>40</c:v>
                </c:pt>
                <c:pt idx="14">
                  <c:v>23</c:v>
                </c:pt>
                <c:pt idx="15">
                  <c:v>27</c:v>
                </c:pt>
                <c:pt idx="16">
                  <c:v>34</c:v>
                </c:pt>
                <c:pt idx="17">
                  <c:v>54</c:v>
                </c:pt>
                <c:pt idx="18">
                  <c:v>21</c:v>
                </c:pt>
                <c:pt idx="19">
                  <c:v>36</c:v>
                </c:pt>
                <c:pt idx="20">
                  <c:v>54</c:v>
                </c:pt>
                <c:pt idx="21">
                  <c:v>26</c:v>
                </c:pt>
                <c:pt idx="22">
                  <c:v>29</c:v>
                </c:pt>
                <c:pt idx="23">
                  <c:v>21</c:v>
                </c:pt>
                <c:pt idx="24">
                  <c:v>23</c:v>
                </c:pt>
                <c:pt idx="25">
                  <c:v>22</c:v>
                </c:pt>
                <c:pt idx="26">
                  <c:v>18</c:v>
                </c:pt>
                <c:pt idx="27">
                  <c:v>62</c:v>
                </c:pt>
                <c:pt idx="28">
                  <c:v>54</c:v>
                </c:pt>
                <c:pt idx="29">
                  <c:v>21</c:v>
                </c:pt>
                <c:pt idx="30">
                  <c:v>34</c:v>
                </c:pt>
                <c:pt idx="31">
                  <c:v>54</c:v>
                </c:pt>
                <c:pt idx="32">
                  <c:v>55</c:v>
                </c:pt>
                <c:pt idx="33">
                  <c:v>53</c:v>
                </c:pt>
                <c:pt idx="34">
                  <c:v>49</c:v>
                </c:pt>
              </c:strCache>
            </c:strRef>
          </c:cat>
          <c:val>
            <c:numRef>
              <c:f>Charts!$E$2:$E$36</c:f>
              <c:numCache>
                <c:formatCode>"$"#,##0</c:formatCode>
                <c:ptCount val="35"/>
                <c:pt idx="0">
                  <c:v>250000</c:v>
                </c:pt>
                <c:pt idx="1">
                  <c:v>50000</c:v>
                </c:pt>
                <c:pt idx="2">
                  <c:v>170000</c:v>
                </c:pt>
                <c:pt idx="3">
                  <c:v>25000</c:v>
                </c:pt>
                <c:pt idx="4">
                  <c:v>10000</c:v>
                </c:pt>
                <c:pt idx="5">
                  <c:v>5001000</c:v>
                </c:pt>
                <c:pt idx="6">
                  <c:v>800000</c:v>
                </c:pt>
                <c:pt idx="7">
                  <c:v>9000</c:v>
                </c:pt>
                <c:pt idx="8">
                  <c:v>61500</c:v>
                </c:pt>
                <c:pt idx="9">
                  <c:v>650000</c:v>
                </c:pt>
                <c:pt idx="10">
                  <c:v>250000</c:v>
                </c:pt>
                <c:pt idx="11">
                  <c:v>1400000</c:v>
                </c:pt>
                <c:pt idx="12">
                  <c:v>6000050</c:v>
                </c:pt>
                <c:pt idx="13">
                  <c:v>220100</c:v>
                </c:pt>
                <c:pt idx="14">
                  <c:v>7500</c:v>
                </c:pt>
                <c:pt idx="15">
                  <c:v>87000</c:v>
                </c:pt>
                <c:pt idx="16">
                  <c:v>930000</c:v>
                </c:pt>
                <c:pt idx="17">
                  <c:v>7900000</c:v>
                </c:pt>
                <c:pt idx="18">
                  <c:v>15000</c:v>
                </c:pt>
                <c:pt idx="19">
                  <c:v>330000</c:v>
                </c:pt>
                <c:pt idx="20">
                  <c:v>6570000</c:v>
                </c:pt>
                <c:pt idx="21">
                  <c:v>25000</c:v>
                </c:pt>
                <c:pt idx="22">
                  <c:v>6845000</c:v>
                </c:pt>
                <c:pt idx="23">
                  <c:v>6000</c:v>
                </c:pt>
                <c:pt idx="24">
                  <c:v>8900</c:v>
                </c:pt>
                <c:pt idx="25">
                  <c:v>20000</c:v>
                </c:pt>
                <c:pt idx="26">
                  <c:v>3000</c:v>
                </c:pt>
                <c:pt idx="27">
                  <c:v>10000000</c:v>
                </c:pt>
                <c:pt idx="28">
                  <c:v>5000000</c:v>
                </c:pt>
                <c:pt idx="29">
                  <c:v>6100</c:v>
                </c:pt>
                <c:pt idx="30">
                  <c:v>80000</c:v>
                </c:pt>
                <c:pt idx="31">
                  <c:v>900000</c:v>
                </c:pt>
                <c:pt idx="32">
                  <c:v>1540000</c:v>
                </c:pt>
                <c:pt idx="33">
                  <c:v>9300000</c:v>
                </c:pt>
                <c:pt idx="34">
                  <c:v>7600000</c:v>
                </c:pt>
              </c:numCache>
            </c:numRef>
          </c:val>
          <c:extLst>
            <c:ext xmlns:c16="http://schemas.microsoft.com/office/drawing/2014/chart" uri="{C3380CC4-5D6E-409C-BE32-E72D297353CC}">
              <c16:uniqueId val="{00000000-13D9-4932-A97C-3FAD3CC1F5D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Salary by Experience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399516399032798"/>
          <c:y val="0.1532995793798021"/>
          <c:w val="0.83640647281294567"/>
          <c:h val="0.72888923196005329"/>
        </c:manualLayout>
      </c:layout>
      <c:lineChart>
        <c:grouping val="standard"/>
        <c:varyColors val="0"/>
        <c:ser>
          <c:idx val="0"/>
          <c:order val="0"/>
          <c:tx>
            <c:strRef>
              <c:f>Charts!$E$1</c:f>
              <c:strCache>
                <c:ptCount val="1"/>
                <c:pt idx="0">
                  <c:v>Salary</c:v>
                </c:pt>
              </c:strCache>
            </c:strRef>
          </c:tx>
          <c:spPr>
            <a:ln w="22225" cap="rnd">
              <a:solidFill>
                <a:schemeClr val="accent1"/>
              </a:solidFill>
            </a:ln>
            <a:effectLst>
              <a:glow rad="139700">
                <a:schemeClr val="accent1">
                  <a:satMod val="175000"/>
                  <a:alpha val="14000"/>
                </a:schemeClr>
              </a:glow>
            </a:effectLst>
          </c:spPr>
          <c:marker>
            <c:symbol val="none"/>
          </c:marker>
          <c:cat>
            <c:strRef>
              <c:extLst>
                <c:ext xmlns:c15="http://schemas.microsoft.com/office/drawing/2012/chart" uri="{02D57815-91ED-43cb-92C2-25804820EDAC}">
                  <c15:fullRef>
                    <c15:sqref>Charts!$A$2:$D$36</c15:sqref>
                  </c15:fullRef>
                  <c15:levelRef>
                    <c15:sqref>Charts!$B$2:$B$36</c15:sqref>
                  </c15:levelRef>
                </c:ext>
              </c:extLst>
              <c:f>Charts!$B$2:$B$36</c:f>
              <c:strCache>
                <c:ptCount val="35"/>
                <c:pt idx="0">
                  <c:v>5</c:v>
                </c:pt>
                <c:pt idx="1">
                  <c:v>1</c:v>
                </c:pt>
                <c:pt idx="2">
                  <c:v>3</c:v>
                </c:pt>
                <c:pt idx="3">
                  <c:v>2</c:v>
                </c:pt>
                <c:pt idx="4">
                  <c:v>1</c:v>
                </c:pt>
                <c:pt idx="5">
                  <c:v>25</c:v>
                </c:pt>
                <c:pt idx="6">
                  <c:v>19</c:v>
                </c:pt>
                <c:pt idx="7">
                  <c:v>2</c:v>
                </c:pt>
                <c:pt idx="8">
                  <c:v>10</c:v>
                </c:pt>
                <c:pt idx="9">
                  <c:v>15</c:v>
                </c:pt>
                <c:pt idx="10">
                  <c:v>4</c:v>
                </c:pt>
                <c:pt idx="11">
                  <c:v>6</c:v>
                </c:pt>
                <c:pt idx="12">
                  <c:v>14</c:v>
                </c:pt>
                <c:pt idx="13">
                  <c:v>11</c:v>
                </c:pt>
                <c:pt idx="14">
                  <c:v>2</c:v>
                </c:pt>
                <c:pt idx="15">
                  <c:v>4</c:v>
                </c:pt>
                <c:pt idx="16">
                  <c:v>10</c:v>
                </c:pt>
                <c:pt idx="17">
                  <c:v>15</c:v>
                </c:pt>
                <c:pt idx="18">
                  <c:v>2</c:v>
                </c:pt>
                <c:pt idx="19">
                  <c:v>10</c:v>
                </c:pt>
                <c:pt idx="20">
                  <c:v>15</c:v>
                </c:pt>
                <c:pt idx="21">
                  <c:v>4</c:v>
                </c:pt>
                <c:pt idx="22">
                  <c:v>5</c:v>
                </c:pt>
                <c:pt idx="23">
                  <c:v>1</c:v>
                </c:pt>
                <c:pt idx="24">
                  <c:v>4</c:v>
                </c:pt>
                <c:pt idx="25">
                  <c:v>3</c:v>
                </c:pt>
                <c:pt idx="26">
                  <c:v>1</c:v>
                </c:pt>
                <c:pt idx="27">
                  <c:v>27</c:v>
                </c:pt>
                <c:pt idx="28">
                  <c:v>19</c:v>
                </c:pt>
                <c:pt idx="29">
                  <c:v>2</c:v>
                </c:pt>
                <c:pt idx="30">
                  <c:v>10</c:v>
                </c:pt>
                <c:pt idx="31">
                  <c:v>15</c:v>
                </c:pt>
                <c:pt idx="32">
                  <c:v>20</c:v>
                </c:pt>
                <c:pt idx="33">
                  <c:v>19</c:v>
                </c:pt>
                <c:pt idx="34">
                  <c:v>16</c:v>
                </c:pt>
              </c:strCache>
            </c:strRef>
          </c:cat>
          <c:val>
            <c:numRef>
              <c:f>Charts!$E$2:$E$36</c:f>
              <c:numCache>
                <c:formatCode>"$"#,##0</c:formatCode>
                <c:ptCount val="35"/>
                <c:pt idx="0">
                  <c:v>250000</c:v>
                </c:pt>
                <c:pt idx="1">
                  <c:v>50000</c:v>
                </c:pt>
                <c:pt idx="2">
                  <c:v>170000</c:v>
                </c:pt>
                <c:pt idx="3">
                  <c:v>25000</c:v>
                </c:pt>
                <c:pt idx="4">
                  <c:v>10000</c:v>
                </c:pt>
                <c:pt idx="5">
                  <c:v>5001000</c:v>
                </c:pt>
                <c:pt idx="6">
                  <c:v>800000</c:v>
                </c:pt>
                <c:pt idx="7">
                  <c:v>9000</c:v>
                </c:pt>
                <c:pt idx="8">
                  <c:v>61500</c:v>
                </c:pt>
                <c:pt idx="9">
                  <c:v>650000</c:v>
                </c:pt>
                <c:pt idx="10">
                  <c:v>250000</c:v>
                </c:pt>
                <c:pt idx="11">
                  <c:v>1400000</c:v>
                </c:pt>
                <c:pt idx="12">
                  <c:v>6000050</c:v>
                </c:pt>
                <c:pt idx="13">
                  <c:v>220100</c:v>
                </c:pt>
                <c:pt idx="14">
                  <c:v>7500</c:v>
                </c:pt>
                <c:pt idx="15">
                  <c:v>87000</c:v>
                </c:pt>
                <c:pt idx="16">
                  <c:v>930000</c:v>
                </c:pt>
                <c:pt idx="17">
                  <c:v>7900000</c:v>
                </c:pt>
                <c:pt idx="18">
                  <c:v>15000</c:v>
                </c:pt>
                <c:pt idx="19">
                  <c:v>330000</c:v>
                </c:pt>
                <c:pt idx="20">
                  <c:v>6570000</c:v>
                </c:pt>
                <c:pt idx="21">
                  <c:v>25000</c:v>
                </c:pt>
                <c:pt idx="22">
                  <c:v>6845000</c:v>
                </c:pt>
                <c:pt idx="23">
                  <c:v>6000</c:v>
                </c:pt>
                <c:pt idx="24">
                  <c:v>8900</c:v>
                </c:pt>
                <c:pt idx="25">
                  <c:v>20000</c:v>
                </c:pt>
                <c:pt idx="26">
                  <c:v>3000</c:v>
                </c:pt>
                <c:pt idx="27">
                  <c:v>10000000</c:v>
                </c:pt>
                <c:pt idx="28">
                  <c:v>5000000</c:v>
                </c:pt>
                <c:pt idx="29">
                  <c:v>6100</c:v>
                </c:pt>
                <c:pt idx="30">
                  <c:v>80000</c:v>
                </c:pt>
                <c:pt idx="31">
                  <c:v>900000</c:v>
                </c:pt>
                <c:pt idx="32">
                  <c:v>1540000</c:v>
                </c:pt>
                <c:pt idx="33">
                  <c:v>9300000</c:v>
                </c:pt>
                <c:pt idx="34">
                  <c:v>7600000</c:v>
                </c:pt>
              </c:numCache>
            </c:numRef>
          </c:val>
          <c:smooth val="0"/>
          <c:extLst>
            <c:ext xmlns:c16="http://schemas.microsoft.com/office/drawing/2014/chart" uri="{C3380CC4-5D6E-409C-BE32-E72D297353CC}">
              <c16:uniqueId val="{00000000-0111-4F4E-BC67-70388D008D6B}"/>
            </c:ext>
          </c:extLst>
        </c:ser>
        <c:dLbls>
          <c:showLegendKey val="0"/>
          <c:showVal val="0"/>
          <c:showCatName val="0"/>
          <c:showSerName val="0"/>
          <c:showPercent val="0"/>
          <c:showBubbleSize val="0"/>
        </c:dLbls>
        <c:smooth val="0"/>
        <c:axId val="504210024"/>
        <c:axId val="504211464"/>
      </c:lineChart>
      <c:catAx>
        <c:axId val="504210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211464"/>
        <c:crosses val="autoZero"/>
        <c:auto val="1"/>
        <c:lblAlgn val="ctr"/>
        <c:lblOffset val="100"/>
        <c:noMultiLvlLbl val="0"/>
      </c:catAx>
      <c:valAx>
        <c:axId val="504211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21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[Ritesh_DataAnalytics_Week1.xlsx]Pivot Tables!PivotTable1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7559055118111"/>
          <c:y val="0.26791447944006996"/>
          <c:w val="0.68531692913385822"/>
          <c:h val="0.53774387576552929"/>
        </c:manualLayout>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multiLvlStrRef>
              <c:f>'Pivot Tables'!$A$4:$A$27</c:f>
              <c:multiLvlStrCache>
                <c:ptCount val="21"/>
                <c:lvl>
                  <c:pt idx="0">
                    <c:v>1</c:v>
                  </c:pt>
                  <c:pt idx="1">
                    <c:v>2</c:v>
                  </c:pt>
                  <c:pt idx="2">
                    <c:v>3</c:v>
                  </c:pt>
                  <c:pt idx="3">
                    <c:v>5</c:v>
                  </c:pt>
                  <c:pt idx="4">
                    <c:v>4</c:v>
                  </c:pt>
                  <c:pt idx="5">
                    <c:v>10</c:v>
                  </c:pt>
                  <c:pt idx="6">
                    <c:v>20</c:v>
                  </c:pt>
                  <c:pt idx="7">
                    <c:v>15</c:v>
                  </c:pt>
                  <c:pt idx="8">
                    <c:v>27</c:v>
                  </c:pt>
                  <c:pt idx="9">
                    <c:v>19</c:v>
                  </c:pt>
                  <c:pt idx="10">
                    <c:v>4</c:v>
                  </c:pt>
                  <c:pt idx="11">
                    <c:v>2</c:v>
                  </c:pt>
                  <c:pt idx="12">
                    <c:v>1</c:v>
                  </c:pt>
                  <c:pt idx="13">
                    <c:v>11</c:v>
                  </c:pt>
                  <c:pt idx="14">
                    <c:v>10</c:v>
                  </c:pt>
                  <c:pt idx="15">
                    <c:v>6</c:v>
                  </c:pt>
                  <c:pt idx="16">
                    <c:v>25</c:v>
                  </c:pt>
                  <c:pt idx="17">
                    <c:v>14</c:v>
                  </c:pt>
                  <c:pt idx="18">
                    <c:v>5</c:v>
                  </c:pt>
                  <c:pt idx="19">
                    <c:v>15</c:v>
                  </c:pt>
                  <c:pt idx="20">
                    <c:v>16</c:v>
                  </c:pt>
                </c:lvl>
                <c:lvl>
                  <c:pt idx="0">
                    <c:v>Female</c:v>
                  </c:pt>
                  <c:pt idx="10">
                    <c:v>Male</c:v>
                  </c:pt>
                </c:lvl>
              </c:multiLvlStrCache>
            </c:multiLvlStrRef>
          </c:cat>
          <c:val>
            <c:numRef>
              <c:f>'Pivot Tables'!$B$4:$B$27</c:f>
              <c:numCache>
                <c:formatCode>"$"#,##0</c:formatCode>
                <c:ptCount val="21"/>
                <c:pt idx="0">
                  <c:v>6000</c:v>
                </c:pt>
                <c:pt idx="1">
                  <c:v>15100</c:v>
                </c:pt>
                <c:pt idx="2">
                  <c:v>190000</c:v>
                </c:pt>
                <c:pt idx="3">
                  <c:v>250000</c:v>
                </c:pt>
                <c:pt idx="4">
                  <c:v>345900</c:v>
                </c:pt>
                <c:pt idx="5">
                  <c:v>991500</c:v>
                </c:pt>
                <c:pt idx="6">
                  <c:v>1540000</c:v>
                </c:pt>
                <c:pt idx="7">
                  <c:v>8550000</c:v>
                </c:pt>
                <c:pt idx="8">
                  <c:v>10000000</c:v>
                </c:pt>
                <c:pt idx="9">
                  <c:v>15100000</c:v>
                </c:pt>
                <c:pt idx="10">
                  <c:v>25000</c:v>
                </c:pt>
                <c:pt idx="11">
                  <c:v>47500</c:v>
                </c:pt>
                <c:pt idx="12">
                  <c:v>63000</c:v>
                </c:pt>
                <c:pt idx="13">
                  <c:v>220100</c:v>
                </c:pt>
                <c:pt idx="14">
                  <c:v>410000</c:v>
                </c:pt>
                <c:pt idx="15">
                  <c:v>1400000</c:v>
                </c:pt>
                <c:pt idx="16">
                  <c:v>5001000</c:v>
                </c:pt>
                <c:pt idx="17">
                  <c:v>6000050</c:v>
                </c:pt>
                <c:pt idx="18">
                  <c:v>6845000</c:v>
                </c:pt>
                <c:pt idx="19">
                  <c:v>7470000</c:v>
                </c:pt>
                <c:pt idx="20">
                  <c:v>7600000</c:v>
                </c:pt>
              </c:numCache>
            </c:numRef>
          </c:val>
          <c:extLst>
            <c:ext xmlns:c16="http://schemas.microsoft.com/office/drawing/2014/chart" uri="{C3380CC4-5D6E-409C-BE32-E72D297353CC}">
              <c16:uniqueId val="{00000000-F946-4914-9218-323BC54FEBB9}"/>
            </c:ext>
          </c:extLst>
        </c:ser>
        <c:dLbls>
          <c:showLegendKey val="0"/>
          <c:showVal val="0"/>
          <c:showCatName val="0"/>
          <c:showSerName val="0"/>
          <c:showPercent val="0"/>
          <c:showBubbleSize val="0"/>
        </c:dLbls>
        <c:gapWidth val="219"/>
        <c:overlap val="-27"/>
        <c:axId val="413342160"/>
        <c:axId val="413346480"/>
      </c:barChart>
      <c:catAx>
        <c:axId val="41334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6480"/>
        <c:crosses val="autoZero"/>
        <c:auto val="1"/>
        <c:lblAlgn val="ctr"/>
        <c:lblOffset val="100"/>
        <c:noMultiLvlLbl val="0"/>
      </c:catAx>
      <c:valAx>
        <c:axId val="413346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[Ritesh_DataAnalytics_Week1.xlsx]Pivot Tables!PivotTable2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c:f>
              <c:strCache>
                <c:ptCount val="1"/>
                <c:pt idx="0">
                  <c:v>Total</c:v>
                </c:pt>
              </c:strCache>
            </c:strRef>
          </c:tx>
          <c:spPr>
            <a:ln w="28575" cap="rnd">
              <a:solidFill>
                <a:schemeClr val="accent1"/>
              </a:solidFill>
              <a:round/>
            </a:ln>
            <a:effectLst/>
          </c:spPr>
          <c:marker>
            <c:symbol val="none"/>
          </c:marker>
          <c:cat>
            <c:multiLvlStrRef>
              <c:f>'Pivot Tables'!$A$34:$A$62</c:f>
              <c:multiLvlStrCache>
                <c:ptCount val="26"/>
                <c:lvl>
                  <c:pt idx="0">
                    <c:v>22</c:v>
                  </c:pt>
                  <c:pt idx="1">
                    <c:v>21</c:v>
                  </c:pt>
                  <c:pt idx="2">
                    <c:v>36</c:v>
                  </c:pt>
                  <c:pt idx="3">
                    <c:v>27</c:v>
                  </c:pt>
                  <c:pt idx="4">
                    <c:v>23</c:v>
                  </c:pt>
                  <c:pt idx="5">
                    <c:v>28</c:v>
                  </c:pt>
                  <c:pt idx="6">
                    <c:v>26</c:v>
                  </c:pt>
                  <c:pt idx="7">
                    <c:v>34</c:v>
                  </c:pt>
                  <c:pt idx="8">
                    <c:v>55</c:v>
                  </c:pt>
                  <c:pt idx="9">
                    <c:v>53</c:v>
                  </c:pt>
                  <c:pt idx="10">
                    <c:v>62</c:v>
                  </c:pt>
                  <c:pt idx="11">
                    <c:v>54</c:v>
                  </c:pt>
                  <c:pt idx="12">
                    <c:v>18</c:v>
                  </c:pt>
                  <c:pt idx="13">
                    <c:v>23</c:v>
                  </c:pt>
                  <c:pt idx="14">
                    <c:v>17</c:v>
                  </c:pt>
                  <c:pt idx="15">
                    <c:v>26</c:v>
                  </c:pt>
                  <c:pt idx="16">
                    <c:v>22</c:v>
                  </c:pt>
                  <c:pt idx="17">
                    <c:v>21</c:v>
                  </c:pt>
                  <c:pt idx="18">
                    <c:v>34</c:v>
                  </c:pt>
                  <c:pt idx="19">
                    <c:v>40</c:v>
                  </c:pt>
                  <c:pt idx="20">
                    <c:v>36</c:v>
                  </c:pt>
                  <c:pt idx="21">
                    <c:v>62</c:v>
                  </c:pt>
                  <c:pt idx="22">
                    <c:v>39</c:v>
                  </c:pt>
                  <c:pt idx="23">
                    <c:v>54</c:v>
                  </c:pt>
                  <c:pt idx="24">
                    <c:v>49</c:v>
                  </c:pt>
                  <c:pt idx="25">
                    <c:v>29</c:v>
                  </c:pt>
                </c:lvl>
                <c:lvl>
                  <c:pt idx="0">
                    <c:v>Female</c:v>
                  </c:pt>
                  <c:pt idx="12">
                    <c:v>Male</c:v>
                  </c:pt>
                </c:lvl>
              </c:multiLvlStrCache>
            </c:multiLvlStrRef>
          </c:cat>
          <c:val>
            <c:numRef>
              <c:f>'Pivot Tables'!$B$34:$B$62</c:f>
              <c:numCache>
                <c:formatCode>"$"#,##0</c:formatCode>
                <c:ptCount val="26"/>
                <c:pt idx="0">
                  <c:v>20000</c:v>
                </c:pt>
                <c:pt idx="1">
                  <c:v>21100</c:v>
                </c:pt>
                <c:pt idx="2">
                  <c:v>61500</c:v>
                </c:pt>
                <c:pt idx="3">
                  <c:v>87000</c:v>
                </c:pt>
                <c:pt idx="4">
                  <c:v>178900</c:v>
                </c:pt>
                <c:pt idx="5">
                  <c:v>250000</c:v>
                </c:pt>
                <c:pt idx="6">
                  <c:v>250000</c:v>
                </c:pt>
                <c:pt idx="7">
                  <c:v>930000</c:v>
                </c:pt>
                <c:pt idx="8">
                  <c:v>1540000</c:v>
                </c:pt>
                <c:pt idx="9">
                  <c:v>9300000</c:v>
                </c:pt>
                <c:pt idx="10">
                  <c:v>10000000</c:v>
                </c:pt>
                <c:pt idx="11">
                  <c:v>14350000</c:v>
                </c:pt>
                <c:pt idx="12">
                  <c:v>3000</c:v>
                </c:pt>
                <c:pt idx="13">
                  <c:v>7500</c:v>
                </c:pt>
                <c:pt idx="14">
                  <c:v>10000</c:v>
                </c:pt>
                <c:pt idx="15">
                  <c:v>25000</c:v>
                </c:pt>
                <c:pt idx="16">
                  <c:v>25000</c:v>
                </c:pt>
                <c:pt idx="17">
                  <c:v>65000</c:v>
                </c:pt>
                <c:pt idx="18">
                  <c:v>80000</c:v>
                </c:pt>
                <c:pt idx="19">
                  <c:v>220100</c:v>
                </c:pt>
                <c:pt idx="20">
                  <c:v>330000</c:v>
                </c:pt>
                <c:pt idx="21">
                  <c:v>5001000</c:v>
                </c:pt>
                <c:pt idx="22">
                  <c:v>6000050</c:v>
                </c:pt>
                <c:pt idx="23">
                  <c:v>7470000</c:v>
                </c:pt>
                <c:pt idx="24">
                  <c:v>7600000</c:v>
                </c:pt>
                <c:pt idx="25">
                  <c:v>8245000</c:v>
                </c:pt>
              </c:numCache>
            </c:numRef>
          </c:val>
          <c:smooth val="0"/>
          <c:extLst>
            <c:ext xmlns:c16="http://schemas.microsoft.com/office/drawing/2014/chart" uri="{C3380CC4-5D6E-409C-BE32-E72D297353CC}">
              <c16:uniqueId val="{00000000-BEF8-4F33-8C24-44B343787DE9}"/>
            </c:ext>
          </c:extLst>
        </c:ser>
        <c:dLbls>
          <c:showLegendKey val="0"/>
          <c:showVal val="0"/>
          <c:showCatName val="0"/>
          <c:showSerName val="0"/>
          <c:showPercent val="0"/>
          <c:showBubbleSize val="0"/>
        </c:dLbls>
        <c:smooth val="0"/>
        <c:axId val="510825432"/>
        <c:axId val="510824352"/>
      </c:lineChart>
      <c:catAx>
        <c:axId val="510825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4352"/>
        <c:crosses val="autoZero"/>
        <c:auto val="1"/>
        <c:lblAlgn val="ctr"/>
        <c:lblOffset val="100"/>
        <c:noMultiLvlLbl val="0"/>
      </c:catAx>
      <c:valAx>
        <c:axId val="51082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5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[Ritesh_DataAnalytics_Week1.xlsx]Pivot Tables!PivotTable1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7559055118111"/>
          <c:y val="0.26791447944006996"/>
          <c:w val="0.68531692913385822"/>
          <c:h val="0.53774387576552929"/>
        </c:manualLayout>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multiLvlStrRef>
              <c:f>'Pivot Tables'!$A$4:$A$27</c:f>
              <c:multiLvlStrCache>
                <c:ptCount val="21"/>
                <c:lvl>
                  <c:pt idx="0">
                    <c:v>1</c:v>
                  </c:pt>
                  <c:pt idx="1">
                    <c:v>2</c:v>
                  </c:pt>
                  <c:pt idx="2">
                    <c:v>3</c:v>
                  </c:pt>
                  <c:pt idx="3">
                    <c:v>5</c:v>
                  </c:pt>
                  <c:pt idx="4">
                    <c:v>4</c:v>
                  </c:pt>
                  <c:pt idx="5">
                    <c:v>10</c:v>
                  </c:pt>
                  <c:pt idx="6">
                    <c:v>20</c:v>
                  </c:pt>
                  <c:pt idx="7">
                    <c:v>15</c:v>
                  </c:pt>
                  <c:pt idx="8">
                    <c:v>27</c:v>
                  </c:pt>
                  <c:pt idx="9">
                    <c:v>19</c:v>
                  </c:pt>
                  <c:pt idx="10">
                    <c:v>4</c:v>
                  </c:pt>
                  <c:pt idx="11">
                    <c:v>2</c:v>
                  </c:pt>
                  <c:pt idx="12">
                    <c:v>1</c:v>
                  </c:pt>
                  <c:pt idx="13">
                    <c:v>11</c:v>
                  </c:pt>
                  <c:pt idx="14">
                    <c:v>10</c:v>
                  </c:pt>
                  <c:pt idx="15">
                    <c:v>6</c:v>
                  </c:pt>
                  <c:pt idx="16">
                    <c:v>25</c:v>
                  </c:pt>
                  <c:pt idx="17">
                    <c:v>14</c:v>
                  </c:pt>
                  <c:pt idx="18">
                    <c:v>5</c:v>
                  </c:pt>
                  <c:pt idx="19">
                    <c:v>15</c:v>
                  </c:pt>
                  <c:pt idx="20">
                    <c:v>16</c:v>
                  </c:pt>
                </c:lvl>
                <c:lvl>
                  <c:pt idx="0">
                    <c:v>Female</c:v>
                  </c:pt>
                  <c:pt idx="10">
                    <c:v>Male</c:v>
                  </c:pt>
                </c:lvl>
              </c:multiLvlStrCache>
            </c:multiLvlStrRef>
          </c:cat>
          <c:val>
            <c:numRef>
              <c:f>'Pivot Tables'!$B$4:$B$27</c:f>
              <c:numCache>
                <c:formatCode>"$"#,##0</c:formatCode>
                <c:ptCount val="21"/>
                <c:pt idx="0">
                  <c:v>6000</c:v>
                </c:pt>
                <c:pt idx="1">
                  <c:v>15100</c:v>
                </c:pt>
                <c:pt idx="2">
                  <c:v>190000</c:v>
                </c:pt>
                <c:pt idx="3">
                  <c:v>250000</c:v>
                </c:pt>
                <c:pt idx="4">
                  <c:v>345900</c:v>
                </c:pt>
                <c:pt idx="5">
                  <c:v>991500</c:v>
                </c:pt>
                <c:pt idx="6">
                  <c:v>1540000</c:v>
                </c:pt>
                <c:pt idx="7">
                  <c:v>8550000</c:v>
                </c:pt>
                <c:pt idx="8">
                  <c:v>10000000</c:v>
                </c:pt>
                <c:pt idx="9">
                  <c:v>15100000</c:v>
                </c:pt>
                <c:pt idx="10">
                  <c:v>25000</c:v>
                </c:pt>
                <c:pt idx="11">
                  <c:v>47500</c:v>
                </c:pt>
                <c:pt idx="12">
                  <c:v>63000</c:v>
                </c:pt>
                <c:pt idx="13">
                  <c:v>220100</c:v>
                </c:pt>
                <c:pt idx="14">
                  <c:v>410000</c:v>
                </c:pt>
                <c:pt idx="15">
                  <c:v>1400000</c:v>
                </c:pt>
                <c:pt idx="16">
                  <c:v>5001000</c:v>
                </c:pt>
                <c:pt idx="17">
                  <c:v>6000050</c:v>
                </c:pt>
                <c:pt idx="18">
                  <c:v>6845000</c:v>
                </c:pt>
                <c:pt idx="19">
                  <c:v>7470000</c:v>
                </c:pt>
                <c:pt idx="20">
                  <c:v>7600000</c:v>
                </c:pt>
              </c:numCache>
            </c:numRef>
          </c:val>
          <c:extLst>
            <c:ext xmlns:c16="http://schemas.microsoft.com/office/drawing/2014/chart" uri="{C3380CC4-5D6E-409C-BE32-E72D297353CC}">
              <c16:uniqueId val="{00000000-217E-4F82-B96C-031349E82D10}"/>
            </c:ext>
          </c:extLst>
        </c:ser>
        <c:dLbls>
          <c:showLegendKey val="0"/>
          <c:showVal val="0"/>
          <c:showCatName val="0"/>
          <c:showSerName val="0"/>
          <c:showPercent val="0"/>
          <c:showBubbleSize val="0"/>
        </c:dLbls>
        <c:gapWidth val="219"/>
        <c:overlap val="-27"/>
        <c:axId val="413342160"/>
        <c:axId val="413346480"/>
      </c:barChart>
      <c:catAx>
        <c:axId val="413342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6480"/>
        <c:crosses val="autoZero"/>
        <c:auto val="1"/>
        <c:lblAlgn val="ctr"/>
        <c:lblOffset val="100"/>
        <c:noMultiLvlLbl val="0"/>
      </c:catAx>
      <c:valAx>
        <c:axId val="413346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[Ritesh_DataAnalytics_Week1.xlsx]Pivot Tables!PivotTable2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c:f>
              <c:strCache>
                <c:ptCount val="1"/>
                <c:pt idx="0">
                  <c:v>Total</c:v>
                </c:pt>
              </c:strCache>
            </c:strRef>
          </c:tx>
          <c:spPr>
            <a:ln w="28575" cap="rnd">
              <a:solidFill>
                <a:schemeClr val="accent1"/>
              </a:solidFill>
              <a:round/>
            </a:ln>
            <a:effectLst/>
          </c:spPr>
          <c:marker>
            <c:symbol val="none"/>
          </c:marker>
          <c:cat>
            <c:multiLvlStrRef>
              <c:f>'Pivot Tables'!$A$34:$A$62</c:f>
              <c:multiLvlStrCache>
                <c:ptCount val="26"/>
                <c:lvl>
                  <c:pt idx="0">
                    <c:v>22</c:v>
                  </c:pt>
                  <c:pt idx="1">
                    <c:v>21</c:v>
                  </c:pt>
                  <c:pt idx="2">
                    <c:v>36</c:v>
                  </c:pt>
                  <c:pt idx="3">
                    <c:v>27</c:v>
                  </c:pt>
                  <c:pt idx="4">
                    <c:v>23</c:v>
                  </c:pt>
                  <c:pt idx="5">
                    <c:v>28</c:v>
                  </c:pt>
                  <c:pt idx="6">
                    <c:v>26</c:v>
                  </c:pt>
                  <c:pt idx="7">
                    <c:v>34</c:v>
                  </c:pt>
                  <c:pt idx="8">
                    <c:v>55</c:v>
                  </c:pt>
                  <c:pt idx="9">
                    <c:v>53</c:v>
                  </c:pt>
                  <c:pt idx="10">
                    <c:v>62</c:v>
                  </c:pt>
                  <c:pt idx="11">
                    <c:v>54</c:v>
                  </c:pt>
                  <c:pt idx="12">
                    <c:v>18</c:v>
                  </c:pt>
                  <c:pt idx="13">
                    <c:v>23</c:v>
                  </c:pt>
                  <c:pt idx="14">
                    <c:v>17</c:v>
                  </c:pt>
                  <c:pt idx="15">
                    <c:v>26</c:v>
                  </c:pt>
                  <c:pt idx="16">
                    <c:v>22</c:v>
                  </c:pt>
                  <c:pt idx="17">
                    <c:v>21</c:v>
                  </c:pt>
                  <c:pt idx="18">
                    <c:v>34</c:v>
                  </c:pt>
                  <c:pt idx="19">
                    <c:v>40</c:v>
                  </c:pt>
                  <c:pt idx="20">
                    <c:v>36</c:v>
                  </c:pt>
                  <c:pt idx="21">
                    <c:v>62</c:v>
                  </c:pt>
                  <c:pt idx="22">
                    <c:v>39</c:v>
                  </c:pt>
                  <c:pt idx="23">
                    <c:v>54</c:v>
                  </c:pt>
                  <c:pt idx="24">
                    <c:v>49</c:v>
                  </c:pt>
                  <c:pt idx="25">
                    <c:v>29</c:v>
                  </c:pt>
                </c:lvl>
                <c:lvl>
                  <c:pt idx="0">
                    <c:v>Female</c:v>
                  </c:pt>
                  <c:pt idx="12">
                    <c:v>Male</c:v>
                  </c:pt>
                </c:lvl>
              </c:multiLvlStrCache>
            </c:multiLvlStrRef>
          </c:cat>
          <c:val>
            <c:numRef>
              <c:f>'Pivot Tables'!$B$34:$B$62</c:f>
              <c:numCache>
                <c:formatCode>"$"#,##0</c:formatCode>
                <c:ptCount val="26"/>
                <c:pt idx="0">
                  <c:v>20000</c:v>
                </c:pt>
                <c:pt idx="1">
                  <c:v>21100</c:v>
                </c:pt>
                <c:pt idx="2">
                  <c:v>61500</c:v>
                </c:pt>
                <c:pt idx="3">
                  <c:v>87000</c:v>
                </c:pt>
                <c:pt idx="4">
                  <c:v>178900</c:v>
                </c:pt>
                <c:pt idx="5">
                  <c:v>250000</c:v>
                </c:pt>
                <c:pt idx="6">
                  <c:v>250000</c:v>
                </c:pt>
                <c:pt idx="7">
                  <c:v>930000</c:v>
                </c:pt>
                <c:pt idx="8">
                  <c:v>1540000</c:v>
                </c:pt>
                <c:pt idx="9">
                  <c:v>9300000</c:v>
                </c:pt>
                <c:pt idx="10">
                  <c:v>10000000</c:v>
                </c:pt>
                <c:pt idx="11">
                  <c:v>14350000</c:v>
                </c:pt>
                <c:pt idx="12">
                  <c:v>3000</c:v>
                </c:pt>
                <c:pt idx="13">
                  <c:v>7500</c:v>
                </c:pt>
                <c:pt idx="14">
                  <c:v>10000</c:v>
                </c:pt>
                <c:pt idx="15">
                  <c:v>25000</c:v>
                </c:pt>
                <c:pt idx="16">
                  <c:v>25000</c:v>
                </c:pt>
                <c:pt idx="17">
                  <c:v>65000</c:v>
                </c:pt>
                <c:pt idx="18">
                  <c:v>80000</c:v>
                </c:pt>
                <c:pt idx="19">
                  <c:v>220100</c:v>
                </c:pt>
                <c:pt idx="20">
                  <c:v>330000</c:v>
                </c:pt>
                <c:pt idx="21">
                  <c:v>5001000</c:v>
                </c:pt>
                <c:pt idx="22">
                  <c:v>6000050</c:v>
                </c:pt>
                <c:pt idx="23">
                  <c:v>7470000</c:v>
                </c:pt>
                <c:pt idx="24">
                  <c:v>7600000</c:v>
                </c:pt>
                <c:pt idx="25">
                  <c:v>8245000</c:v>
                </c:pt>
              </c:numCache>
            </c:numRef>
          </c:val>
          <c:smooth val="0"/>
          <c:extLst>
            <c:ext xmlns:c16="http://schemas.microsoft.com/office/drawing/2014/chart" uri="{C3380CC4-5D6E-409C-BE32-E72D297353CC}">
              <c16:uniqueId val="{00000000-9371-4F1A-9C61-6A11AFE2596C}"/>
            </c:ext>
          </c:extLst>
        </c:ser>
        <c:dLbls>
          <c:showLegendKey val="0"/>
          <c:showVal val="0"/>
          <c:showCatName val="0"/>
          <c:showSerName val="0"/>
          <c:showPercent val="0"/>
          <c:showBubbleSize val="0"/>
        </c:dLbls>
        <c:smooth val="0"/>
        <c:axId val="510825432"/>
        <c:axId val="510824352"/>
      </c:lineChart>
      <c:catAx>
        <c:axId val="510825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4352"/>
        <c:crosses val="autoZero"/>
        <c:auto val="1"/>
        <c:lblAlgn val="ctr"/>
        <c:lblOffset val="100"/>
        <c:noMultiLvlLbl val="0"/>
      </c:catAx>
      <c:valAx>
        <c:axId val="51082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5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19049</xdr:colOff>
      <xdr:row>1</xdr:row>
      <xdr:rowOff>4761</xdr:rowOff>
    </xdr:from>
    <xdr:to>
      <xdr:col>14</xdr:col>
      <xdr:colOff>600074</xdr:colOff>
      <xdr:row>15</xdr:row>
      <xdr:rowOff>161924</xdr:rowOff>
    </xdr:to>
    <xdr:graphicFrame macro="">
      <xdr:nvGraphicFramePr>
        <xdr:cNvPr id="5" name="Chart 4">
          <a:extLst>
            <a:ext uri="{FF2B5EF4-FFF2-40B4-BE49-F238E27FC236}">
              <a16:creationId xmlns:a16="http://schemas.microsoft.com/office/drawing/2014/main" id="{86F5187A-9C29-1805-DC54-5AE35EFD8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9524</xdr:colOff>
      <xdr:row>19</xdr:row>
      <xdr:rowOff>23812</xdr:rowOff>
    </xdr:from>
    <xdr:to>
      <xdr:col>14</xdr:col>
      <xdr:colOff>590549</xdr:colOff>
      <xdr:row>33</xdr:row>
      <xdr:rowOff>171450</xdr:rowOff>
    </xdr:to>
    <xdr:graphicFrame macro="">
      <xdr:nvGraphicFramePr>
        <xdr:cNvPr id="6" name="Chart 5">
          <a:extLst>
            <a:ext uri="{FF2B5EF4-FFF2-40B4-BE49-F238E27FC236}">
              <a16:creationId xmlns:a16="http://schemas.microsoft.com/office/drawing/2014/main" id="{7F21BB93-9D7F-E50D-5ACE-B62D48117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xdr:colOff>
      <xdr:row>11</xdr:row>
      <xdr:rowOff>23811</xdr:rowOff>
    </xdr:from>
    <xdr:to>
      <xdr:col>23</xdr:col>
      <xdr:colOff>581025</xdr:colOff>
      <xdr:row>25</xdr:row>
      <xdr:rowOff>180974</xdr:rowOff>
    </xdr:to>
    <xdr:graphicFrame macro="">
      <xdr:nvGraphicFramePr>
        <xdr:cNvPr id="7" name="Chart 6">
          <a:extLst>
            <a:ext uri="{FF2B5EF4-FFF2-40B4-BE49-F238E27FC236}">
              <a16:creationId xmlns:a16="http://schemas.microsoft.com/office/drawing/2014/main" id="{AF167BA7-7875-7FE9-517C-A973D3978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6</xdr:row>
      <xdr:rowOff>33337</xdr:rowOff>
    </xdr:from>
    <xdr:to>
      <xdr:col>11</xdr:col>
      <xdr:colOff>123825</xdr:colOff>
      <xdr:row>20</xdr:row>
      <xdr:rowOff>109537</xdr:rowOff>
    </xdr:to>
    <xdr:graphicFrame macro="">
      <xdr:nvGraphicFramePr>
        <xdr:cNvPr id="2" name="Chart 1">
          <a:extLst>
            <a:ext uri="{FF2B5EF4-FFF2-40B4-BE49-F238E27FC236}">
              <a16:creationId xmlns:a16="http://schemas.microsoft.com/office/drawing/2014/main" id="{9C3431E8-12DB-20D2-1122-EC3B26E3D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838200</xdr:colOff>
      <xdr:row>40</xdr:row>
      <xdr:rowOff>23812</xdr:rowOff>
    </xdr:from>
    <xdr:to>
      <xdr:col>11</xdr:col>
      <xdr:colOff>66675</xdr:colOff>
      <xdr:row>54</xdr:row>
      <xdr:rowOff>100012</xdr:rowOff>
    </xdr:to>
    <xdr:graphicFrame macro="">
      <xdr:nvGraphicFramePr>
        <xdr:cNvPr id="3" name="Chart 2">
          <a:extLst>
            <a:ext uri="{FF2B5EF4-FFF2-40B4-BE49-F238E27FC236}">
              <a16:creationId xmlns:a16="http://schemas.microsoft.com/office/drawing/2014/main" id="{3A83DA12-79B8-5420-842B-44C0B2535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xdr:row>
      <xdr:rowOff>0</xdr:rowOff>
    </xdr:from>
    <xdr:to>
      <xdr:col>9</xdr:col>
      <xdr:colOff>9525</xdr:colOff>
      <xdr:row>14</xdr:row>
      <xdr:rowOff>47625</xdr:rowOff>
    </xdr:to>
    <xdr:graphicFrame macro="">
      <xdr:nvGraphicFramePr>
        <xdr:cNvPr id="2" name="Chart 1">
          <a:extLst>
            <a:ext uri="{FF2B5EF4-FFF2-40B4-BE49-F238E27FC236}">
              <a16:creationId xmlns:a16="http://schemas.microsoft.com/office/drawing/2014/main" id="{161DD7FA-B537-4D82-B882-3481FBB67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14</xdr:row>
      <xdr:rowOff>95250</xdr:rowOff>
    </xdr:from>
    <xdr:to>
      <xdr:col>9</xdr:col>
      <xdr:colOff>9525</xdr:colOff>
      <xdr:row>25</xdr:row>
      <xdr:rowOff>0</xdr:rowOff>
    </xdr:to>
    <xdr:graphicFrame macro="">
      <xdr:nvGraphicFramePr>
        <xdr:cNvPr id="3" name="Chart 2">
          <a:extLst>
            <a:ext uri="{FF2B5EF4-FFF2-40B4-BE49-F238E27FC236}">
              <a16:creationId xmlns:a16="http://schemas.microsoft.com/office/drawing/2014/main" id="{3A2F9E95-59D9-47B7-A354-4616134B4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9526</xdr:rowOff>
    </xdr:from>
    <xdr:to>
      <xdr:col>1</xdr:col>
      <xdr:colOff>590550</xdr:colOff>
      <xdr:row>7</xdr:row>
      <xdr:rowOff>171450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9F22F0F2-9C04-871F-F629-8543725660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581026"/>
              <a:ext cx="120015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8</xdr:row>
      <xdr:rowOff>19051</xdr:rowOff>
    </xdr:from>
    <xdr:to>
      <xdr:col>1</xdr:col>
      <xdr:colOff>600075</xdr:colOff>
      <xdr:row>15</xdr:row>
      <xdr:rowOff>19050</xdr:rowOff>
    </xdr:to>
    <mc:AlternateContent xmlns:mc="http://schemas.openxmlformats.org/markup-compatibility/2006">
      <mc:Choice xmlns:a14="http://schemas.microsoft.com/office/drawing/2010/main" Requires="a14">
        <xdr:graphicFrame macro="">
          <xdr:nvGraphicFramePr>
            <xdr:cNvPr id="5" name="Experience_Years">
              <a:extLst>
                <a:ext uri="{FF2B5EF4-FFF2-40B4-BE49-F238E27FC236}">
                  <a16:creationId xmlns:a16="http://schemas.microsoft.com/office/drawing/2014/main" id="{489903C8-A4DD-FA4D-9A31-001931328407}"/>
                </a:ext>
              </a:extLst>
            </xdr:cNvPr>
            <xdr:cNvGraphicFramePr/>
          </xdr:nvGraphicFramePr>
          <xdr:xfrm>
            <a:off x="0" y="0"/>
            <a:ext cx="0" cy="0"/>
          </xdr:xfrm>
          <a:graphic>
            <a:graphicData uri="http://schemas.microsoft.com/office/drawing/2010/slicer">
              <sle:slicer xmlns:sle="http://schemas.microsoft.com/office/drawing/2010/slicer" name="Experience_Years"/>
            </a:graphicData>
          </a:graphic>
        </xdr:graphicFrame>
      </mc:Choice>
      <mc:Fallback>
        <xdr:sp macro="" textlink="">
          <xdr:nvSpPr>
            <xdr:cNvPr id="0" name=""/>
            <xdr:cNvSpPr>
              <a:spLocks noTextEdit="1"/>
            </xdr:cNvSpPr>
          </xdr:nvSpPr>
          <xdr:spPr>
            <a:xfrm>
              <a:off x="9525" y="1543051"/>
              <a:ext cx="120015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66674</xdr:rowOff>
    </xdr:from>
    <xdr:to>
      <xdr:col>1</xdr:col>
      <xdr:colOff>600075</xdr:colOff>
      <xdr:row>24</xdr:row>
      <xdr:rowOff>171449</xdr:rowOff>
    </xdr:to>
    <mc:AlternateContent xmlns:mc="http://schemas.openxmlformats.org/markup-compatibility/2006">
      <mc:Choice xmlns:a14="http://schemas.microsoft.com/office/drawing/2010/main" Requires="a14">
        <xdr:graphicFrame macro="">
          <xdr:nvGraphicFramePr>
            <xdr:cNvPr id="6" name="Age">
              <a:extLst>
                <a:ext uri="{FF2B5EF4-FFF2-40B4-BE49-F238E27FC236}">
                  <a16:creationId xmlns:a16="http://schemas.microsoft.com/office/drawing/2014/main" id="{0AA5957D-2F76-229B-EC4C-499857549CF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2924174"/>
              <a:ext cx="1209675"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97.191198495369" createdVersion="8" refreshedVersion="8" minRefreshableVersion="3" recordCount="35" xr:uid="{CEC0C40A-AB81-4DBD-AF14-A38574EB1DEF}">
  <cacheSource type="worksheet">
    <worksheetSource ref="A1:E36" sheet="Formulas"/>
  </cacheSource>
  <cacheFields count="5">
    <cacheField name="ID" numFmtId="0">
      <sharedItems containsSemiMixedTypes="0" containsString="0" containsNumber="1" containsInteger="1" minValue="1" maxValue="35"/>
    </cacheField>
    <cacheField name="Experience_Years" numFmtId="0">
      <sharedItems containsSemiMixedTypes="0" containsString="0" containsNumber="1" containsInteger="1" minValue="1" maxValue="27" count="15">
        <n v="5"/>
        <n v="1"/>
        <n v="3"/>
        <n v="2"/>
        <n v="25"/>
        <n v="19"/>
        <n v="10"/>
        <n v="15"/>
        <n v="4"/>
        <n v="6"/>
        <n v="14"/>
        <n v="11"/>
        <n v="27"/>
        <n v="20"/>
        <n v="16"/>
      </sharedItems>
    </cacheField>
    <cacheField name="Age" numFmtId="0">
      <sharedItems containsSemiMixedTypes="0" containsString="0" containsNumber="1" containsInteger="1" minValue="17" maxValue="62" count="18">
        <n v="28"/>
        <n v="21"/>
        <n v="23"/>
        <n v="22"/>
        <n v="17"/>
        <n v="62"/>
        <n v="54"/>
        <n v="36"/>
        <n v="26"/>
        <n v="29"/>
        <n v="39"/>
        <n v="40"/>
        <n v="27"/>
        <n v="34"/>
        <n v="18"/>
        <n v="55"/>
        <n v="53"/>
        <n v="49"/>
      </sharedItems>
    </cacheField>
    <cacheField name="Gender" numFmtId="0">
      <sharedItems count="2">
        <s v="Female"/>
        <s v="Male"/>
      </sharedItems>
    </cacheField>
    <cacheField name="Salary" numFmtId="164">
      <sharedItems containsSemiMixedTypes="0" containsString="0" containsNumber="1" containsInteger="1" minValue="3000" maxValue="10000000" count="33">
        <n v="250000"/>
        <n v="50000"/>
        <n v="170000"/>
        <n v="25000"/>
        <n v="10000"/>
        <n v="5001000"/>
        <n v="800000"/>
        <n v="9000"/>
        <n v="61500"/>
        <n v="650000"/>
        <n v="1400000"/>
        <n v="6000050"/>
        <n v="220100"/>
        <n v="7500"/>
        <n v="87000"/>
        <n v="930000"/>
        <n v="7900000"/>
        <n v="15000"/>
        <n v="330000"/>
        <n v="6570000"/>
        <n v="6845000"/>
        <n v="6000"/>
        <n v="8900"/>
        <n v="20000"/>
        <n v="3000"/>
        <n v="10000000"/>
        <n v="5000000"/>
        <n v="6100"/>
        <n v="80000"/>
        <n v="900000"/>
        <n v="1540000"/>
        <n v="9300000"/>
        <n v="7600000"/>
      </sharedItems>
    </cacheField>
  </cacheFields>
  <extLst>
    <ext xmlns:x14="http://schemas.microsoft.com/office/spreadsheetml/2009/9/main" uri="{725AE2AE-9491-48be-B2B4-4EB974FC3084}">
      <x14:pivotCacheDefinition pivotCacheId="558419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x v="0"/>
    <x v="0"/>
    <x v="0"/>
    <x v="0"/>
  </r>
  <r>
    <n v="2"/>
    <x v="1"/>
    <x v="1"/>
    <x v="1"/>
    <x v="1"/>
  </r>
  <r>
    <n v="3"/>
    <x v="2"/>
    <x v="2"/>
    <x v="0"/>
    <x v="2"/>
  </r>
  <r>
    <n v="4"/>
    <x v="3"/>
    <x v="3"/>
    <x v="1"/>
    <x v="3"/>
  </r>
  <r>
    <n v="5"/>
    <x v="1"/>
    <x v="4"/>
    <x v="1"/>
    <x v="4"/>
  </r>
  <r>
    <n v="6"/>
    <x v="4"/>
    <x v="5"/>
    <x v="1"/>
    <x v="5"/>
  </r>
  <r>
    <n v="7"/>
    <x v="5"/>
    <x v="6"/>
    <x v="0"/>
    <x v="6"/>
  </r>
  <r>
    <n v="8"/>
    <x v="3"/>
    <x v="1"/>
    <x v="0"/>
    <x v="7"/>
  </r>
  <r>
    <n v="9"/>
    <x v="6"/>
    <x v="7"/>
    <x v="0"/>
    <x v="8"/>
  </r>
  <r>
    <n v="10"/>
    <x v="7"/>
    <x v="6"/>
    <x v="0"/>
    <x v="9"/>
  </r>
  <r>
    <n v="11"/>
    <x v="8"/>
    <x v="8"/>
    <x v="0"/>
    <x v="0"/>
  </r>
  <r>
    <n v="12"/>
    <x v="9"/>
    <x v="9"/>
    <x v="1"/>
    <x v="10"/>
  </r>
  <r>
    <n v="13"/>
    <x v="10"/>
    <x v="10"/>
    <x v="1"/>
    <x v="11"/>
  </r>
  <r>
    <n v="14"/>
    <x v="11"/>
    <x v="11"/>
    <x v="1"/>
    <x v="12"/>
  </r>
  <r>
    <n v="15"/>
    <x v="3"/>
    <x v="2"/>
    <x v="1"/>
    <x v="13"/>
  </r>
  <r>
    <n v="16"/>
    <x v="8"/>
    <x v="12"/>
    <x v="0"/>
    <x v="14"/>
  </r>
  <r>
    <n v="17"/>
    <x v="6"/>
    <x v="13"/>
    <x v="0"/>
    <x v="15"/>
  </r>
  <r>
    <n v="18"/>
    <x v="7"/>
    <x v="6"/>
    <x v="0"/>
    <x v="16"/>
  </r>
  <r>
    <n v="19"/>
    <x v="3"/>
    <x v="1"/>
    <x v="1"/>
    <x v="17"/>
  </r>
  <r>
    <n v="20"/>
    <x v="6"/>
    <x v="7"/>
    <x v="1"/>
    <x v="18"/>
  </r>
  <r>
    <n v="21"/>
    <x v="7"/>
    <x v="6"/>
    <x v="1"/>
    <x v="19"/>
  </r>
  <r>
    <n v="22"/>
    <x v="8"/>
    <x v="8"/>
    <x v="1"/>
    <x v="3"/>
  </r>
  <r>
    <n v="23"/>
    <x v="0"/>
    <x v="9"/>
    <x v="1"/>
    <x v="20"/>
  </r>
  <r>
    <n v="24"/>
    <x v="1"/>
    <x v="1"/>
    <x v="0"/>
    <x v="21"/>
  </r>
  <r>
    <n v="25"/>
    <x v="8"/>
    <x v="2"/>
    <x v="0"/>
    <x v="22"/>
  </r>
  <r>
    <n v="26"/>
    <x v="2"/>
    <x v="3"/>
    <x v="0"/>
    <x v="23"/>
  </r>
  <r>
    <n v="27"/>
    <x v="1"/>
    <x v="14"/>
    <x v="1"/>
    <x v="24"/>
  </r>
  <r>
    <n v="28"/>
    <x v="12"/>
    <x v="5"/>
    <x v="0"/>
    <x v="25"/>
  </r>
  <r>
    <n v="29"/>
    <x v="5"/>
    <x v="6"/>
    <x v="0"/>
    <x v="26"/>
  </r>
  <r>
    <n v="30"/>
    <x v="3"/>
    <x v="1"/>
    <x v="0"/>
    <x v="27"/>
  </r>
  <r>
    <n v="31"/>
    <x v="6"/>
    <x v="13"/>
    <x v="1"/>
    <x v="28"/>
  </r>
  <r>
    <n v="32"/>
    <x v="7"/>
    <x v="6"/>
    <x v="1"/>
    <x v="29"/>
  </r>
  <r>
    <n v="33"/>
    <x v="13"/>
    <x v="15"/>
    <x v="0"/>
    <x v="30"/>
  </r>
  <r>
    <n v="34"/>
    <x v="5"/>
    <x v="16"/>
    <x v="0"/>
    <x v="31"/>
  </r>
  <r>
    <n v="35"/>
    <x v="14"/>
    <x v="17"/>
    <x v="1"/>
    <x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E8ACE-61F9-4839-A96B-3B1505C78D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B62" firstHeaderRow="1" firstDataRow="1" firstDataCol="1"/>
  <pivotFields count="5">
    <pivotField showAll="0"/>
    <pivotField showAll="0">
      <items count="16">
        <item x="1"/>
        <item x="3"/>
        <item x="2"/>
        <item x="8"/>
        <item x="0"/>
        <item x="9"/>
        <item x="6"/>
        <item x="11"/>
        <item x="10"/>
        <item x="7"/>
        <item x="14"/>
        <item x="5"/>
        <item x="13"/>
        <item x="4"/>
        <item x="12"/>
        <item t="default"/>
      </items>
    </pivotField>
    <pivotField axis="axisRow" showAll="0" sortType="ascending">
      <items count="19">
        <item x="4"/>
        <item x="14"/>
        <item x="1"/>
        <item x="3"/>
        <item x="2"/>
        <item x="8"/>
        <item x="12"/>
        <item x="0"/>
        <item x="9"/>
        <item x="13"/>
        <item x="7"/>
        <item x="10"/>
        <item x="11"/>
        <item x="17"/>
        <item x="16"/>
        <item x="6"/>
        <item x="15"/>
        <item x="5"/>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dataField="1" numFmtId="164" showAll="0"/>
  </pivotFields>
  <rowFields count="2">
    <field x="3"/>
    <field x="2"/>
  </rowFields>
  <rowItems count="29">
    <i>
      <x/>
    </i>
    <i r="1">
      <x v="3"/>
    </i>
    <i r="1">
      <x v="2"/>
    </i>
    <i r="1">
      <x v="10"/>
    </i>
    <i r="1">
      <x v="6"/>
    </i>
    <i r="1">
      <x v="4"/>
    </i>
    <i r="1">
      <x v="7"/>
    </i>
    <i r="1">
      <x v="5"/>
    </i>
    <i r="1">
      <x v="9"/>
    </i>
    <i r="1">
      <x v="16"/>
    </i>
    <i r="1">
      <x v="14"/>
    </i>
    <i r="1">
      <x v="17"/>
    </i>
    <i r="1">
      <x v="15"/>
    </i>
    <i>
      <x v="1"/>
    </i>
    <i r="1">
      <x v="1"/>
    </i>
    <i r="1">
      <x v="4"/>
    </i>
    <i r="1">
      <x/>
    </i>
    <i r="1">
      <x v="5"/>
    </i>
    <i r="1">
      <x v="3"/>
    </i>
    <i r="1">
      <x v="2"/>
    </i>
    <i r="1">
      <x v="9"/>
    </i>
    <i r="1">
      <x v="12"/>
    </i>
    <i r="1">
      <x v="10"/>
    </i>
    <i r="1">
      <x v="17"/>
    </i>
    <i r="1">
      <x v="11"/>
    </i>
    <i r="1">
      <x v="15"/>
    </i>
    <i r="1">
      <x v="13"/>
    </i>
    <i r="1">
      <x v="8"/>
    </i>
    <i t="grand">
      <x/>
    </i>
  </rowItems>
  <colItems count="1">
    <i/>
  </colItems>
  <dataFields count="1">
    <dataField name="Sum of Salary by Age" fld="4" baseField="2" baseItem="14"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31DECF-7EDA-40DE-A222-1B0AB64067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7" firstHeaderRow="1" firstDataRow="1" firstDataCol="1"/>
  <pivotFields count="5">
    <pivotField showAll="0"/>
    <pivotField axis="axisRow" showAll="0" sortType="ascending">
      <items count="16">
        <item x="1"/>
        <item x="3"/>
        <item x="2"/>
        <item x="8"/>
        <item x="0"/>
        <item x="9"/>
        <item x="6"/>
        <item x="11"/>
        <item x="10"/>
        <item x="7"/>
        <item x="14"/>
        <item x="5"/>
        <item x="13"/>
        <item x="4"/>
        <item x="12"/>
        <item t="default"/>
      </items>
      <autoSortScope>
        <pivotArea dataOnly="0" outline="0" fieldPosition="0">
          <references count="1">
            <reference field="4294967294" count="1" selected="0">
              <x v="0"/>
            </reference>
          </references>
        </pivotArea>
      </autoSortScope>
    </pivotField>
    <pivotField showAll="0">
      <items count="19">
        <item x="4"/>
        <item x="14"/>
        <item x="1"/>
        <item x="3"/>
        <item x="2"/>
        <item x="8"/>
        <item x="12"/>
        <item x="0"/>
        <item x="9"/>
        <item x="13"/>
        <item x="7"/>
        <item x="10"/>
        <item x="11"/>
        <item x="17"/>
        <item x="16"/>
        <item x="6"/>
        <item x="15"/>
        <item x="5"/>
        <item t="default"/>
      </items>
    </pivotField>
    <pivotField axis="axisRow" showAll="0">
      <items count="3">
        <item x="0"/>
        <item x="1"/>
        <item t="default"/>
      </items>
    </pivotField>
    <pivotField dataField="1" numFmtId="164" showAll="0">
      <items count="34">
        <item x="24"/>
        <item x="21"/>
        <item x="27"/>
        <item x="13"/>
        <item x="22"/>
        <item x="7"/>
        <item x="4"/>
        <item x="17"/>
        <item x="23"/>
        <item x="3"/>
        <item x="1"/>
        <item x="8"/>
        <item x="28"/>
        <item x="14"/>
        <item x="2"/>
        <item x="12"/>
        <item x="0"/>
        <item x="18"/>
        <item x="9"/>
        <item x="6"/>
        <item x="29"/>
        <item x="15"/>
        <item x="10"/>
        <item x="30"/>
        <item x="26"/>
        <item x="5"/>
        <item x="11"/>
        <item x="19"/>
        <item x="20"/>
        <item x="32"/>
        <item x="16"/>
        <item x="31"/>
        <item x="25"/>
        <item t="default"/>
      </items>
    </pivotField>
  </pivotFields>
  <rowFields count="2">
    <field x="3"/>
    <field x="1"/>
  </rowFields>
  <rowItems count="24">
    <i>
      <x/>
    </i>
    <i r="1">
      <x/>
    </i>
    <i r="1">
      <x v="1"/>
    </i>
    <i r="1">
      <x v="2"/>
    </i>
    <i r="1">
      <x v="4"/>
    </i>
    <i r="1">
      <x v="3"/>
    </i>
    <i r="1">
      <x v="6"/>
    </i>
    <i r="1">
      <x v="12"/>
    </i>
    <i r="1">
      <x v="9"/>
    </i>
    <i r="1">
      <x v="14"/>
    </i>
    <i r="1">
      <x v="11"/>
    </i>
    <i>
      <x v="1"/>
    </i>
    <i r="1">
      <x v="3"/>
    </i>
    <i r="1">
      <x v="1"/>
    </i>
    <i r="1">
      <x/>
    </i>
    <i r="1">
      <x v="7"/>
    </i>
    <i r="1">
      <x v="6"/>
    </i>
    <i r="1">
      <x v="5"/>
    </i>
    <i r="1">
      <x v="13"/>
    </i>
    <i r="1">
      <x v="8"/>
    </i>
    <i r="1">
      <x v="4"/>
    </i>
    <i r="1">
      <x v="9"/>
    </i>
    <i r="1">
      <x v="10"/>
    </i>
    <i t="grand">
      <x/>
    </i>
  </rowItems>
  <colItems count="1">
    <i/>
  </colItems>
  <dataFields count="1">
    <dataField name="Sum of Salary by Experience" fld="4" baseField="3" baseItem="1"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DDAE0E-36C9-40DF-B677-C9CB5BE9224A}" sourceName="Gender">
  <pivotTables>
    <pivotTable tabId="11" name="PivotTable1"/>
    <pivotTable tabId="11" name="PivotTable2"/>
  </pivotTables>
  <data>
    <tabular pivotCacheId="5584198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Years" xr10:uid="{85F0AADD-CE60-4C8D-A0E8-6573BB1775BE}" sourceName="Experience_Years">
  <pivotTables>
    <pivotTable tabId="11" name="PivotTable1"/>
    <pivotTable tabId="11" name="PivotTable2"/>
  </pivotTables>
  <data>
    <tabular pivotCacheId="558419885">
      <items count="15">
        <i x="1" s="1"/>
        <i x="3" s="1"/>
        <i x="2" s="1"/>
        <i x="8" s="1"/>
        <i x="0" s="1"/>
        <i x="9" s="1"/>
        <i x="6" s="1"/>
        <i x="11" s="1"/>
        <i x="10" s="1"/>
        <i x="7" s="1"/>
        <i x="14" s="1"/>
        <i x="5" s="1"/>
        <i x="13" s="1"/>
        <i x="4"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46C2081-357C-405A-A8E7-0BD67AB94817}" sourceName="Age">
  <pivotTables>
    <pivotTable tabId="11" name="PivotTable1"/>
    <pivotTable tabId="11" name="PivotTable2"/>
  </pivotTables>
  <data>
    <tabular pivotCacheId="558419885">
      <items count="18">
        <i x="4" s="1"/>
        <i x="14" s="1"/>
        <i x="1" s="1"/>
        <i x="3" s="1"/>
        <i x="2" s="1"/>
        <i x="8" s="1"/>
        <i x="12" s="1"/>
        <i x="0" s="1"/>
        <i x="9" s="1"/>
        <i x="13" s="1"/>
        <i x="7" s="1"/>
        <i x="10" s="1"/>
        <i x="11" s="1"/>
        <i x="17" s="1"/>
        <i x="16" s="1"/>
        <i x="6" s="1"/>
        <i x="15"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777505E-687C-4A3F-B61C-13F6DEE7FACF}" cache="Slicer_Gender" caption="Gender" rowHeight="241300"/>
  <slicer name="Experience_Years" xr10:uid="{6E7D9695-A169-4035-BA17-321BD61F715D}" cache="Slicer_Experience_Years" caption="Experience_Years" rowHeight="241300"/>
  <slicer name="Age" xr10:uid="{D87FA80F-83FF-4B3A-971D-AA9DC459A70A}" cache="Slicer_Age" caption="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5559-C58A-4417-9C3E-B679BCBFF726}">
  <dimension ref="A1:M36"/>
  <sheetViews>
    <sheetView workbookViewId="0">
      <selection sqref="A1:E36"/>
    </sheetView>
  </sheetViews>
  <sheetFormatPr defaultRowHeight="15" x14ac:dyDescent="0.25"/>
  <cols>
    <col min="5" max="5" width="15.28515625" bestFit="1" customWidth="1"/>
    <col min="7" max="7" width="12.42578125" bestFit="1" customWidth="1"/>
    <col min="11" max="11" width="12" bestFit="1" customWidth="1"/>
    <col min="12" max="12" width="12.140625" bestFit="1" customWidth="1"/>
    <col min="13" max="13" width="11.7109375" bestFit="1" customWidth="1"/>
  </cols>
  <sheetData>
    <row r="1" spans="1:13" x14ac:dyDescent="0.25">
      <c r="A1" t="s">
        <v>0</v>
      </c>
      <c r="B1" t="s">
        <v>1</v>
      </c>
      <c r="C1" t="s">
        <v>2</v>
      </c>
      <c r="D1" t="s">
        <v>3</v>
      </c>
      <c r="E1" t="s">
        <v>4</v>
      </c>
      <c r="G1" s="1" t="s">
        <v>7</v>
      </c>
      <c r="H1" s="1" t="s">
        <v>8</v>
      </c>
      <c r="I1" s="1" t="s">
        <v>9</v>
      </c>
      <c r="J1" s="1" t="s">
        <v>10</v>
      </c>
      <c r="K1" s="1" t="s">
        <v>11</v>
      </c>
      <c r="L1" s="1" t="s">
        <v>12</v>
      </c>
      <c r="M1" s="1" t="s">
        <v>13</v>
      </c>
    </row>
    <row r="2" spans="1:13" x14ac:dyDescent="0.25">
      <c r="A2">
        <v>1</v>
      </c>
      <c r="B2">
        <v>5</v>
      </c>
      <c r="C2">
        <v>28</v>
      </c>
      <c r="D2" t="s">
        <v>5</v>
      </c>
      <c r="E2" s="3">
        <v>250000</v>
      </c>
      <c r="G2" t="str">
        <f>IF(C2:C36&gt;50,E2:E36,"Not Matched")</f>
        <v>Not Matched</v>
      </c>
      <c r="H2">
        <f>COUNTIF(E2:E36,"&gt;50000")</f>
        <v>23</v>
      </c>
      <c r="I2">
        <f>SUMIF(E2:E36,"&lt;50000")</f>
        <v>135500</v>
      </c>
      <c r="J2">
        <f>VLOOKUP(A24,A2:E36,5,FALSE)</f>
        <v>6845000</v>
      </c>
      <c r="K2">
        <f>AVERAGE(E2:E36)</f>
        <v>2059147.142857143</v>
      </c>
      <c r="L2">
        <f>MAX(E2:E36)</f>
        <v>10000000</v>
      </c>
      <c r="M2">
        <f>MIN(E2:E36)</f>
        <v>3000</v>
      </c>
    </row>
    <row r="3" spans="1:13" x14ac:dyDescent="0.25">
      <c r="A3">
        <v>2</v>
      </c>
      <c r="B3">
        <v>1</v>
      </c>
      <c r="C3">
        <v>21</v>
      </c>
      <c r="D3" t="s">
        <v>6</v>
      </c>
      <c r="E3" s="3">
        <v>50000</v>
      </c>
      <c r="G3" t="str">
        <f t="shared" ref="G3:G36" si="0">IF(C3:C37&gt;50,E3:E37,"Not Matched")</f>
        <v>Not Matched</v>
      </c>
    </row>
    <row r="4" spans="1:13" x14ac:dyDescent="0.25">
      <c r="A4">
        <v>3</v>
      </c>
      <c r="B4">
        <v>3</v>
      </c>
      <c r="C4">
        <v>23</v>
      </c>
      <c r="D4" t="s">
        <v>5</v>
      </c>
      <c r="E4" s="3">
        <v>170000</v>
      </c>
      <c r="G4" t="str">
        <f t="shared" si="0"/>
        <v>Not Matched</v>
      </c>
      <c r="K4" s="1" t="s">
        <v>14</v>
      </c>
      <c r="L4" s="1" t="s">
        <v>15</v>
      </c>
      <c r="M4" s="1" t="s">
        <v>16</v>
      </c>
    </row>
    <row r="5" spans="1:13" x14ac:dyDescent="0.25">
      <c r="A5">
        <v>4</v>
      </c>
      <c r="B5">
        <v>2</v>
      </c>
      <c r="C5">
        <v>22</v>
      </c>
      <c r="D5" t="s">
        <v>6</v>
      </c>
      <c r="E5" s="3">
        <v>25000</v>
      </c>
      <c r="G5" t="str">
        <f t="shared" si="0"/>
        <v>Not Matched</v>
      </c>
      <c r="K5">
        <f>AVERAGE(C2:C36)</f>
        <v>35.485714285714288</v>
      </c>
      <c r="L5">
        <f>MAX(C2:C36)</f>
        <v>62</v>
      </c>
      <c r="M5">
        <f>MIN(C2:C36)</f>
        <v>17</v>
      </c>
    </row>
    <row r="6" spans="1:13" x14ac:dyDescent="0.25">
      <c r="A6">
        <v>5</v>
      </c>
      <c r="B6">
        <v>1</v>
      </c>
      <c r="C6">
        <v>17</v>
      </c>
      <c r="D6" t="s">
        <v>6</v>
      </c>
      <c r="E6" s="3">
        <v>10000</v>
      </c>
      <c r="G6" t="str">
        <f t="shared" si="0"/>
        <v>Not Matched</v>
      </c>
    </row>
    <row r="7" spans="1:13" x14ac:dyDescent="0.25">
      <c r="A7">
        <v>6</v>
      </c>
      <c r="B7">
        <v>25</v>
      </c>
      <c r="C7">
        <v>62</v>
      </c>
      <c r="D7" t="s">
        <v>6</v>
      </c>
      <c r="E7" s="3">
        <v>5001000</v>
      </c>
      <c r="G7">
        <f>IF(C7:C41&gt;50,E7:E41,"Not Matched")</f>
        <v>5001000</v>
      </c>
    </row>
    <row r="8" spans="1:13" x14ac:dyDescent="0.25">
      <c r="A8">
        <v>7</v>
      </c>
      <c r="B8">
        <v>19</v>
      </c>
      <c r="C8">
        <v>54</v>
      </c>
      <c r="D8" t="s">
        <v>5</v>
      </c>
      <c r="E8" s="3">
        <v>800000</v>
      </c>
      <c r="G8">
        <f>IF(C2:C42&gt;50,E2:E42,"Not Matched")</f>
        <v>800000</v>
      </c>
    </row>
    <row r="9" spans="1:13" x14ac:dyDescent="0.25">
      <c r="A9">
        <v>8</v>
      </c>
      <c r="B9">
        <v>2</v>
      </c>
      <c r="C9">
        <v>21</v>
      </c>
      <c r="D9" t="s">
        <v>5</v>
      </c>
      <c r="E9" s="3">
        <v>9000</v>
      </c>
      <c r="G9" t="str">
        <f t="shared" si="0"/>
        <v>Not Matched</v>
      </c>
    </row>
    <row r="10" spans="1:13" x14ac:dyDescent="0.25">
      <c r="A10">
        <v>9</v>
      </c>
      <c r="B10">
        <v>10</v>
      </c>
      <c r="C10">
        <v>36</v>
      </c>
      <c r="D10" t="s">
        <v>5</v>
      </c>
      <c r="E10" s="3">
        <v>61500</v>
      </c>
      <c r="G10" t="str">
        <f t="shared" si="0"/>
        <v>Not Matched</v>
      </c>
    </row>
    <row r="11" spans="1:13" x14ac:dyDescent="0.25">
      <c r="A11">
        <v>10</v>
      </c>
      <c r="B11">
        <v>15</v>
      </c>
      <c r="C11">
        <v>54</v>
      </c>
      <c r="D11" t="s">
        <v>5</v>
      </c>
      <c r="E11" s="3">
        <v>650000</v>
      </c>
      <c r="G11">
        <f t="shared" si="0"/>
        <v>650000</v>
      </c>
    </row>
    <row r="12" spans="1:13" x14ac:dyDescent="0.25">
      <c r="A12">
        <v>11</v>
      </c>
      <c r="B12">
        <v>4</v>
      </c>
      <c r="C12">
        <v>26</v>
      </c>
      <c r="D12" t="s">
        <v>5</v>
      </c>
      <c r="E12" s="3">
        <v>250000</v>
      </c>
      <c r="G12" t="str">
        <f t="shared" si="0"/>
        <v>Not Matched</v>
      </c>
    </row>
    <row r="13" spans="1:13" x14ac:dyDescent="0.25">
      <c r="A13">
        <v>12</v>
      </c>
      <c r="B13">
        <v>6</v>
      </c>
      <c r="C13">
        <v>29</v>
      </c>
      <c r="D13" t="s">
        <v>6</v>
      </c>
      <c r="E13" s="3">
        <v>1400000</v>
      </c>
      <c r="G13" t="str">
        <f t="shared" si="0"/>
        <v>Not Matched</v>
      </c>
    </row>
    <row r="14" spans="1:13" x14ac:dyDescent="0.25">
      <c r="A14">
        <v>13</v>
      </c>
      <c r="B14">
        <v>14</v>
      </c>
      <c r="C14">
        <v>39</v>
      </c>
      <c r="D14" t="s">
        <v>6</v>
      </c>
      <c r="E14" s="3">
        <v>6000050</v>
      </c>
      <c r="G14" t="str">
        <f t="shared" si="0"/>
        <v>Not Matched</v>
      </c>
    </row>
    <row r="15" spans="1:13" x14ac:dyDescent="0.25">
      <c r="A15">
        <v>14</v>
      </c>
      <c r="B15">
        <v>11</v>
      </c>
      <c r="C15">
        <v>40</v>
      </c>
      <c r="D15" t="s">
        <v>6</v>
      </c>
      <c r="E15" s="3">
        <v>220100</v>
      </c>
      <c r="G15" t="str">
        <f t="shared" si="0"/>
        <v>Not Matched</v>
      </c>
    </row>
    <row r="16" spans="1:13" x14ac:dyDescent="0.25">
      <c r="A16">
        <v>15</v>
      </c>
      <c r="B16">
        <v>2</v>
      </c>
      <c r="C16">
        <v>23</v>
      </c>
      <c r="D16" t="s">
        <v>6</v>
      </c>
      <c r="E16" s="3">
        <v>7500</v>
      </c>
      <c r="G16" t="str">
        <f t="shared" si="0"/>
        <v>Not Matched</v>
      </c>
    </row>
    <row r="17" spans="1:7" x14ac:dyDescent="0.25">
      <c r="A17">
        <v>16</v>
      </c>
      <c r="B17">
        <v>4</v>
      </c>
      <c r="C17">
        <v>27</v>
      </c>
      <c r="D17" t="s">
        <v>5</v>
      </c>
      <c r="E17" s="3">
        <v>87000</v>
      </c>
      <c r="G17" t="str">
        <f t="shared" si="0"/>
        <v>Not Matched</v>
      </c>
    </row>
    <row r="18" spans="1:7" x14ac:dyDescent="0.25">
      <c r="A18">
        <v>17</v>
      </c>
      <c r="B18">
        <v>10</v>
      </c>
      <c r="C18">
        <v>34</v>
      </c>
      <c r="D18" t="s">
        <v>5</v>
      </c>
      <c r="E18" s="3">
        <v>930000</v>
      </c>
      <c r="G18" t="str">
        <f t="shared" si="0"/>
        <v>Not Matched</v>
      </c>
    </row>
    <row r="19" spans="1:7" x14ac:dyDescent="0.25">
      <c r="A19">
        <v>18</v>
      </c>
      <c r="B19">
        <v>15</v>
      </c>
      <c r="C19">
        <v>54</v>
      </c>
      <c r="D19" t="s">
        <v>5</v>
      </c>
      <c r="E19" s="3">
        <v>7900000</v>
      </c>
      <c r="G19">
        <f t="shared" si="0"/>
        <v>7900000</v>
      </c>
    </row>
    <row r="20" spans="1:7" x14ac:dyDescent="0.25">
      <c r="A20">
        <v>19</v>
      </c>
      <c r="B20">
        <v>2</v>
      </c>
      <c r="C20">
        <v>21</v>
      </c>
      <c r="D20" t="s">
        <v>6</v>
      </c>
      <c r="E20" s="3">
        <v>15000</v>
      </c>
      <c r="G20" t="str">
        <f t="shared" si="0"/>
        <v>Not Matched</v>
      </c>
    </row>
    <row r="21" spans="1:7" x14ac:dyDescent="0.25">
      <c r="A21">
        <v>20</v>
      </c>
      <c r="B21">
        <v>10</v>
      </c>
      <c r="C21">
        <v>36</v>
      </c>
      <c r="D21" t="s">
        <v>6</v>
      </c>
      <c r="E21" s="3">
        <v>330000</v>
      </c>
      <c r="G21" t="str">
        <f t="shared" si="0"/>
        <v>Not Matched</v>
      </c>
    </row>
    <row r="22" spans="1:7" x14ac:dyDescent="0.25">
      <c r="A22">
        <v>21</v>
      </c>
      <c r="B22">
        <v>15</v>
      </c>
      <c r="C22">
        <v>54</v>
      </c>
      <c r="D22" t="s">
        <v>6</v>
      </c>
      <c r="E22" s="3">
        <v>6570000</v>
      </c>
      <c r="G22">
        <f t="shared" si="0"/>
        <v>6570000</v>
      </c>
    </row>
    <row r="23" spans="1:7" x14ac:dyDescent="0.25">
      <c r="A23">
        <v>22</v>
      </c>
      <c r="B23">
        <v>4</v>
      </c>
      <c r="C23">
        <v>26</v>
      </c>
      <c r="D23" t="s">
        <v>6</v>
      </c>
      <c r="E23" s="3">
        <v>25000</v>
      </c>
      <c r="G23" t="str">
        <f t="shared" si="0"/>
        <v>Not Matched</v>
      </c>
    </row>
    <row r="24" spans="1:7" x14ac:dyDescent="0.25">
      <c r="A24">
        <v>23</v>
      </c>
      <c r="B24">
        <v>5</v>
      </c>
      <c r="C24">
        <v>29</v>
      </c>
      <c r="D24" t="s">
        <v>6</v>
      </c>
      <c r="E24" s="3">
        <v>6845000</v>
      </c>
      <c r="G24" t="str">
        <f t="shared" si="0"/>
        <v>Not Matched</v>
      </c>
    </row>
    <row r="25" spans="1:7" x14ac:dyDescent="0.25">
      <c r="A25">
        <v>24</v>
      </c>
      <c r="B25">
        <v>1</v>
      </c>
      <c r="C25">
        <v>21</v>
      </c>
      <c r="D25" t="s">
        <v>5</v>
      </c>
      <c r="E25" s="3">
        <v>6000</v>
      </c>
      <c r="G25" t="str">
        <f t="shared" si="0"/>
        <v>Not Matched</v>
      </c>
    </row>
    <row r="26" spans="1:7" x14ac:dyDescent="0.25">
      <c r="A26">
        <v>25</v>
      </c>
      <c r="B26">
        <v>4</v>
      </c>
      <c r="C26">
        <v>23</v>
      </c>
      <c r="D26" t="s">
        <v>5</v>
      </c>
      <c r="E26" s="3">
        <v>8900</v>
      </c>
      <c r="G26" t="str">
        <f t="shared" si="0"/>
        <v>Not Matched</v>
      </c>
    </row>
    <row r="27" spans="1:7" x14ac:dyDescent="0.25">
      <c r="A27">
        <v>26</v>
      </c>
      <c r="B27">
        <v>3</v>
      </c>
      <c r="C27">
        <v>22</v>
      </c>
      <c r="D27" t="s">
        <v>5</v>
      </c>
      <c r="E27" s="3">
        <v>20000</v>
      </c>
      <c r="G27" t="str">
        <f t="shared" si="0"/>
        <v>Not Matched</v>
      </c>
    </row>
    <row r="28" spans="1:7" x14ac:dyDescent="0.25">
      <c r="A28">
        <v>27</v>
      </c>
      <c r="B28">
        <v>1</v>
      </c>
      <c r="C28">
        <v>18</v>
      </c>
      <c r="D28" t="s">
        <v>6</v>
      </c>
      <c r="E28" s="3">
        <v>3000</v>
      </c>
      <c r="G28" t="str">
        <f t="shared" si="0"/>
        <v>Not Matched</v>
      </c>
    </row>
    <row r="29" spans="1:7" x14ac:dyDescent="0.25">
      <c r="A29">
        <v>28</v>
      </c>
      <c r="B29">
        <v>27</v>
      </c>
      <c r="C29">
        <v>62</v>
      </c>
      <c r="D29" t="s">
        <v>5</v>
      </c>
      <c r="E29" s="3">
        <v>10000000</v>
      </c>
      <c r="G29">
        <f t="shared" si="0"/>
        <v>10000000</v>
      </c>
    </row>
    <row r="30" spans="1:7" x14ac:dyDescent="0.25">
      <c r="A30">
        <v>29</v>
      </c>
      <c r="B30">
        <v>19</v>
      </c>
      <c r="C30">
        <v>54</v>
      </c>
      <c r="D30" t="s">
        <v>5</v>
      </c>
      <c r="E30" s="3">
        <v>5000000</v>
      </c>
      <c r="G30">
        <f t="shared" si="0"/>
        <v>5000000</v>
      </c>
    </row>
    <row r="31" spans="1:7" x14ac:dyDescent="0.25">
      <c r="A31">
        <v>30</v>
      </c>
      <c r="B31">
        <v>2</v>
      </c>
      <c r="C31">
        <v>21</v>
      </c>
      <c r="D31" t="s">
        <v>5</v>
      </c>
      <c r="E31" s="3">
        <v>6100</v>
      </c>
      <c r="G31" t="str">
        <f t="shared" si="0"/>
        <v>Not Matched</v>
      </c>
    </row>
    <row r="32" spans="1:7" x14ac:dyDescent="0.25">
      <c r="A32">
        <v>31</v>
      </c>
      <c r="B32">
        <v>10</v>
      </c>
      <c r="C32">
        <v>34</v>
      </c>
      <c r="D32" t="s">
        <v>6</v>
      </c>
      <c r="E32" s="3">
        <v>80000</v>
      </c>
      <c r="G32" t="str">
        <f t="shared" si="0"/>
        <v>Not Matched</v>
      </c>
    </row>
    <row r="33" spans="1:7" x14ac:dyDescent="0.25">
      <c r="A33">
        <v>32</v>
      </c>
      <c r="B33">
        <v>15</v>
      </c>
      <c r="C33">
        <v>54</v>
      </c>
      <c r="D33" t="s">
        <v>6</v>
      </c>
      <c r="E33" s="3">
        <v>900000</v>
      </c>
      <c r="G33">
        <f t="shared" si="0"/>
        <v>900000</v>
      </c>
    </row>
    <row r="34" spans="1:7" x14ac:dyDescent="0.25">
      <c r="A34">
        <v>33</v>
      </c>
      <c r="B34">
        <v>20</v>
      </c>
      <c r="C34">
        <v>55</v>
      </c>
      <c r="D34" t="s">
        <v>5</v>
      </c>
      <c r="E34" s="3">
        <v>1540000</v>
      </c>
      <c r="G34">
        <f t="shared" si="0"/>
        <v>1540000</v>
      </c>
    </row>
    <row r="35" spans="1:7" x14ac:dyDescent="0.25">
      <c r="A35">
        <v>34</v>
      </c>
      <c r="B35">
        <v>19</v>
      </c>
      <c r="C35">
        <v>53</v>
      </c>
      <c r="D35" t="s">
        <v>5</v>
      </c>
      <c r="E35" s="3">
        <v>9300000</v>
      </c>
      <c r="G35">
        <f t="shared" si="0"/>
        <v>9300000</v>
      </c>
    </row>
    <row r="36" spans="1:7" x14ac:dyDescent="0.25">
      <c r="A36">
        <v>35</v>
      </c>
      <c r="B36">
        <v>16</v>
      </c>
      <c r="C36">
        <v>49</v>
      </c>
      <c r="D36" t="s">
        <v>6</v>
      </c>
      <c r="E36" s="3">
        <v>7600000</v>
      </c>
      <c r="G36" t="str">
        <f t="shared" si="0"/>
        <v>Not Matched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C84B-CC89-4C3E-8640-68E95847610C}">
  <dimension ref="A1:E36"/>
  <sheetViews>
    <sheetView topLeftCell="A16" workbookViewId="0">
      <selection activeCell="E2" sqref="E2:E36"/>
    </sheetView>
  </sheetViews>
  <sheetFormatPr defaultRowHeight="15" x14ac:dyDescent="0.25"/>
  <cols>
    <col min="5" max="5" width="15.28515625" bestFit="1" customWidth="1"/>
  </cols>
  <sheetData>
    <row r="1" spans="1:5" x14ac:dyDescent="0.25">
      <c r="A1" t="s">
        <v>0</v>
      </c>
      <c r="B1" t="s">
        <v>1</v>
      </c>
      <c r="C1" t="s">
        <v>2</v>
      </c>
      <c r="D1" t="s">
        <v>3</v>
      </c>
      <c r="E1" t="s">
        <v>4</v>
      </c>
    </row>
    <row r="2" spans="1:5" x14ac:dyDescent="0.25">
      <c r="A2">
        <v>1</v>
      </c>
      <c r="B2">
        <v>5</v>
      </c>
      <c r="C2">
        <v>28</v>
      </c>
      <c r="D2" t="s">
        <v>5</v>
      </c>
      <c r="E2" s="3">
        <v>250000</v>
      </c>
    </row>
    <row r="3" spans="1:5" x14ac:dyDescent="0.25">
      <c r="A3">
        <v>2</v>
      </c>
      <c r="B3">
        <v>1</v>
      </c>
      <c r="C3">
        <v>21</v>
      </c>
      <c r="D3" t="s">
        <v>6</v>
      </c>
      <c r="E3" s="3">
        <v>50000</v>
      </c>
    </row>
    <row r="4" spans="1:5" x14ac:dyDescent="0.25">
      <c r="A4">
        <v>3</v>
      </c>
      <c r="B4">
        <v>3</v>
      </c>
      <c r="C4">
        <v>23</v>
      </c>
      <c r="D4" t="s">
        <v>5</v>
      </c>
      <c r="E4" s="3">
        <v>170000</v>
      </c>
    </row>
    <row r="5" spans="1:5" x14ac:dyDescent="0.25">
      <c r="A5">
        <v>4</v>
      </c>
      <c r="B5">
        <v>2</v>
      </c>
      <c r="C5">
        <v>22</v>
      </c>
      <c r="D5" t="s">
        <v>6</v>
      </c>
      <c r="E5" s="3">
        <v>25000</v>
      </c>
    </row>
    <row r="6" spans="1:5" x14ac:dyDescent="0.25">
      <c r="A6">
        <v>5</v>
      </c>
      <c r="B6">
        <v>1</v>
      </c>
      <c r="C6">
        <v>17</v>
      </c>
      <c r="D6" t="s">
        <v>6</v>
      </c>
      <c r="E6" s="3">
        <v>10000</v>
      </c>
    </row>
    <row r="7" spans="1:5" x14ac:dyDescent="0.25">
      <c r="A7">
        <v>6</v>
      </c>
      <c r="B7">
        <v>25</v>
      </c>
      <c r="C7">
        <v>62</v>
      </c>
      <c r="D7" t="s">
        <v>6</v>
      </c>
      <c r="E7" s="3">
        <v>5001000</v>
      </c>
    </row>
    <row r="8" spans="1:5" x14ac:dyDescent="0.25">
      <c r="A8">
        <v>7</v>
      </c>
      <c r="B8">
        <v>19</v>
      </c>
      <c r="C8">
        <v>54</v>
      </c>
      <c r="D8" t="s">
        <v>5</v>
      </c>
      <c r="E8" s="3">
        <v>800000</v>
      </c>
    </row>
    <row r="9" spans="1:5" x14ac:dyDescent="0.25">
      <c r="A9">
        <v>8</v>
      </c>
      <c r="B9">
        <v>2</v>
      </c>
      <c r="C9">
        <v>21</v>
      </c>
      <c r="D9" t="s">
        <v>5</v>
      </c>
      <c r="E9" s="3">
        <v>9000</v>
      </c>
    </row>
    <row r="10" spans="1:5" x14ac:dyDescent="0.25">
      <c r="A10">
        <v>9</v>
      </c>
      <c r="B10">
        <v>10</v>
      </c>
      <c r="C10">
        <v>36</v>
      </c>
      <c r="D10" t="s">
        <v>5</v>
      </c>
      <c r="E10" s="3">
        <v>61500</v>
      </c>
    </row>
    <row r="11" spans="1:5" x14ac:dyDescent="0.25">
      <c r="A11">
        <v>10</v>
      </c>
      <c r="B11">
        <v>15</v>
      </c>
      <c r="C11">
        <v>54</v>
      </c>
      <c r="D11" t="s">
        <v>5</v>
      </c>
      <c r="E11" s="3">
        <v>650000</v>
      </c>
    </row>
    <row r="12" spans="1:5" x14ac:dyDescent="0.25">
      <c r="A12">
        <v>11</v>
      </c>
      <c r="B12">
        <v>4</v>
      </c>
      <c r="C12">
        <v>26</v>
      </c>
      <c r="D12" t="s">
        <v>5</v>
      </c>
      <c r="E12" s="3">
        <v>250000</v>
      </c>
    </row>
    <row r="13" spans="1:5" x14ac:dyDescent="0.25">
      <c r="A13">
        <v>12</v>
      </c>
      <c r="B13">
        <v>6</v>
      </c>
      <c r="C13">
        <v>29</v>
      </c>
      <c r="D13" t="s">
        <v>6</v>
      </c>
      <c r="E13" s="3">
        <v>1400000</v>
      </c>
    </row>
    <row r="14" spans="1:5" x14ac:dyDescent="0.25">
      <c r="A14">
        <v>13</v>
      </c>
      <c r="B14">
        <v>14</v>
      </c>
      <c r="C14">
        <v>39</v>
      </c>
      <c r="D14" t="s">
        <v>6</v>
      </c>
      <c r="E14" s="3">
        <v>6000050</v>
      </c>
    </row>
    <row r="15" spans="1:5" x14ac:dyDescent="0.25">
      <c r="A15">
        <v>14</v>
      </c>
      <c r="B15">
        <v>11</v>
      </c>
      <c r="C15">
        <v>40</v>
      </c>
      <c r="D15" t="s">
        <v>6</v>
      </c>
      <c r="E15" s="3">
        <v>220100</v>
      </c>
    </row>
    <row r="16" spans="1:5" x14ac:dyDescent="0.25">
      <c r="A16">
        <v>15</v>
      </c>
      <c r="B16">
        <v>2</v>
      </c>
      <c r="C16">
        <v>23</v>
      </c>
      <c r="D16" t="s">
        <v>6</v>
      </c>
      <c r="E16" s="3">
        <v>7500</v>
      </c>
    </row>
    <row r="17" spans="1:5" x14ac:dyDescent="0.25">
      <c r="A17">
        <v>16</v>
      </c>
      <c r="B17">
        <v>4</v>
      </c>
      <c r="C17">
        <v>27</v>
      </c>
      <c r="D17" t="s">
        <v>5</v>
      </c>
      <c r="E17" s="3">
        <v>87000</v>
      </c>
    </row>
    <row r="18" spans="1:5" x14ac:dyDescent="0.25">
      <c r="A18">
        <v>17</v>
      </c>
      <c r="B18">
        <v>10</v>
      </c>
      <c r="C18">
        <v>34</v>
      </c>
      <c r="D18" t="s">
        <v>5</v>
      </c>
      <c r="E18" s="3">
        <v>930000</v>
      </c>
    </row>
    <row r="19" spans="1:5" x14ac:dyDescent="0.25">
      <c r="A19">
        <v>18</v>
      </c>
      <c r="B19">
        <v>15</v>
      </c>
      <c r="C19">
        <v>54</v>
      </c>
      <c r="D19" t="s">
        <v>5</v>
      </c>
      <c r="E19" s="3">
        <v>7900000</v>
      </c>
    </row>
    <row r="20" spans="1:5" x14ac:dyDescent="0.25">
      <c r="A20">
        <v>19</v>
      </c>
      <c r="B20">
        <v>2</v>
      </c>
      <c r="C20">
        <v>21</v>
      </c>
      <c r="D20" t="s">
        <v>6</v>
      </c>
      <c r="E20" s="3">
        <v>15000</v>
      </c>
    </row>
    <row r="21" spans="1:5" x14ac:dyDescent="0.25">
      <c r="A21">
        <v>20</v>
      </c>
      <c r="B21">
        <v>10</v>
      </c>
      <c r="C21">
        <v>36</v>
      </c>
      <c r="D21" t="s">
        <v>6</v>
      </c>
      <c r="E21" s="3">
        <v>330000</v>
      </c>
    </row>
    <row r="22" spans="1:5" x14ac:dyDescent="0.25">
      <c r="A22">
        <v>21</v>
      </c>
      <c r="B22">
        <v>15</v>
      </c>
      <c r="C22">
        <v>54</v>
      </c>
      <c r="D22" t="s">
        <v>6</v>
      </c>
      <c r="E22" s="3">
        <v>6570000</v>
      </c>
    </row>
    <row r="23" spans="1:5" x14ac:dyDescent="0.25">
      <c r="A23">
        <v>22</v>
      </c>
      <c r="B23">
        <v>4</v>
      </c>
      <c r="C23">
        <v>26</v>
      </c>
      <c r="D23" t="s">
        <v>6</v>
      </c>
      <c r="E23" s="3">
        <v>25000</v>
      </c>
    </row>
    <row r="24" spans="1:5" x14ac:dyDescent="0.25">
      <c r="A24">
        <v>23</v>
      </c>
      <c r="B24">
        <v>5</v>
      </c>
      <c r="C24">
        <v>29</v>
      </c>
      <c r="D24" t="s">
        <v>6</v>
      </c>
      <c r="E24" s="3">
        <v>6845000</v>
      </c>
    </row>
    <row r="25" spans="1:5" x14ac:dyDescent="0.25">
      <c r="A25">
        <v>24</v>
      </c>
      <c r="B25">
        <v>1</v>
      </c>
      <c r="C25">
        <v>21</v>
      </c>
      <c r="D25" t="s">
        <v>5</v>
      </c>
      <c r="E25" s="3">
        <v>6000</v>
      </c>
    </row>
    <row r="26" spans="1:5" x14ac:dyDescent="0.25">
      <c r="A26">
        <v>25</v>
      </c>
      <c r="B26">
        <v>4</v>
      </c>
      <c r="C26">
        <v>23</v>
      </c>
      <c r="D26" t="s">
        <v>5</v>
      </c>
      <c r="E26" s="3">
        <v>8900</v>
      </c>
    </row>
    <row r="27" spans="1:5" x14ac:dyDescent="0.25">
      <c r="A27">
        <v>26</v>
      </c>
      <c r="B27">
        <v>3</v>
      </c>
      <c r="C27">
        <v>22</v>
      </c>
      <c r="D27" t="s">
        <v>5</v>
      </c>
      <c r="E27" s="3">
        <v>20000</v>
      </c>
    </row>
    <row r="28" spans="1:5" x14ac:dyDescent="0.25">
      <c r="A28">
        <v>27</v>
      </c>
      <c r="B28">
        <v>1</v>
      </c>
      <c r="C28">
        <v>18</v>
      </c>
      <c r="D28" t="s">
        <v>6</v>
      </c>
      <c r="E28" s="3">
        <v>3000</v>
      </c>
    </row>
    <row r="29" spans="1:5" x14ac:dyDescent="0.25">
      <c r="A29">
        <v>28</v>
      </c>
      <c r="B29">
        <v>27</v>
      </c>
      <c r="C29">
        <v>62</v>
      </c>
      <c r="D29" t="s">
        <v>5</v>
      </c>
      <c r="E29" s="3">
        <v>10000000</v>
      </c>
    </row>
    <row r="30" spans="1:5" x14ac:dyDescent="0.25">
      <c r="A30">
        <v>29</v>
      </c>
      <c r="B30">
        <v>19</v>
      </c>
      <c r="C30">
        <v>54</v>
      </c>
      <c r="D30" t="s">
        <v>5</v>
      </c>
      <c r="E30" s="3">
        <v>5000000</v>
      </c>
    </row>
    <row r="31" spans="1:5" x14ac:dyDescent="0.25">
      <c r="A31">
        <v>30</v>
      </c>
      <c r="B31">
        <v>2</v>
      </c>
      <c r="C31">
        <v>21</v>
      </c>
      <c r="D31" t="s">
        <v>5</v>
      </c>
      <c r="E31" s="3">
        <v>6100</v>
      </c>
    </row>
    <row r="32" spans="1:5" x14ac:dyDescent="0.25">
      <c r="A32">
        <v>31</v>
      </c>
      <c r="B32">
        <v>10</v>
      </c>
      <c r="C32">
        <v>34</v>
      </c>
      <c r="D32" t="s">
        <v>6</v>
      </c>
      <c r="E32" s="3">
        <v>80000</v>
      </c>
    </row>
    <row r="33" spans="1:5" x14ac:dyDescent="0.25">
      <c r="A33">
        <v>32</v>
      </c>
      <c r="B33">
        <v>15</v>
      </c>
      <c r="C33">
        <v>54</v>
      </c>
      <c r="D33" t="s">
        <v>6</v>
      </c>
      <c r="E33" s="3">
        <v>900000</v>
      </c>
    </row>
    <row r="34" spans="1:5" x14ac:dyDescent="0.25">
      <c r="A34">
        <v>33</v>
      </c>
      <c r="B34">
        <v>20</v>
      </c>
      <c r="C34">
        <v>55</v>
      </c>
      <c r="D34" t="s">
        <v>5</v>
      </c>
      <c r="E34" s="3">
        <v>1540000</v>
      </c>
    </row>
    <row r="35" spans="1:5" x14ac:dyDescent="0.25">
      <c r="A35">
        <v>34</v>
      </c>
      <c r="B35">
        <v>19</v>
      </c>
      <c r="C35">
        <v>53</v>
      </c>
      <c r="D35" t="s">
        <v>5</v>
      </c>
      <c r="E35" s="3">
        <v>9300000</v>
      </c>
    </row>
    <row r="36" spans="1:5" x14ac:dyDescent="0.25">
      <c r="A36">
        <v>35</v>
      </c>
      <c r="B36">
        <v>16</v>
      </c>
      <c r="C36">
        <v>49</v>
      </c>
      <c r="D36" t="s">
        <v>6</v>
      </c>
      <c r="E36" s="3">
        <v>7600000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A2572-1C1C-4291-9BF9-D035730EFEA0}">
  <dimension ref="A3:B62"/>
  <sheetViews>
    <sheetView topLeftCell="A51" workbookViewId="0">
      <selection activeCell="A47" sqref="A47"/>
    </sheetView>
  </sheetViews>
  <sheetFormatPr defaultRowHeight="15" x14ac:dyDescent="0.25"/>
  <cols>
    <col min="1" max="1" width="13.140625" bestFit="1" customWidth="1"/>
    <col min="2" max="2" width="19.5703125" bestFit="1" customWidth="1"/>
    <col min="3" max="3" width="12.85546875" bestFit="1" customWidth="1"/>
    <col min="4" max="4" width="11.28515625" bestFit="1" customWidth="1"/>
    <col min="5" max="7" width="7.5703125" bestFit="1" customWidth="1"/>
    <col min="8" max="10" width="8.5703125" bestFit="1" customWidth="1"/>
    <col min="11" max="11" width="7.5703125" bestFit="1" customWidth="1"/>
    <col min="12" max="12" width="8.5703125" bestFit="1" customWidth="1"/>
    <col min="13" max="13" width="13.140625" bestFit="1" customWidth="1"/>
    <col min="14" max="14" width="19.5703125" bestFit="1" customWidth="1"/>
    <col min="15" max="17" width="10.140625" bestFit="1" customWidth="1"/>
    <col min="18" max="19" width="8.5703125" bestFit="1" customWidth="1"/>
    <col min="20" max="20" width="10.140625" bestFit="1" customWidth="1"/>
    <col min="21" max="22" width="8.5703125" bestFit="1" customWidth="1"/>
    <col min="23" max="26" width="10.140625" bestFit="1" customWidth="1"/>
    <col min="27" max="27" width="11.140625" bestFit="1" customWidth="1"/>
    <col min="28" max="29" width="10.140625" bestFit="1" customWidth="1"/>
    <col min="30" max="31" width="11.140625" bestFit="1" customWidth="1"/>
    <col min="32" max="35" width="10.140625" bestFit="1" customWidth="1"/>
    <col min="36" max="37" width="11.140625" bestFit="1" customWidth="1"/>
    <col min="38" max="38" width="11.28515625" bestFit="1" customWidth="1"/>
  </cols>
  <sheetData>
    <row r="3" spans="1:2" x14ac:dyDescent="0.25">
      <c r="A3" s="4" t="s">
        <v>17</v>
      </c>
      <c r="B3" t="s">
        <v>19</v>
      </c>
    </row>
    <row r="4" spans="1:2" x14ac:dyDescent="0.25">
      <c r="A4" s="5" t="s">
        <v>5</v>
      </c>
      <c r="B4" s="2">
        <v>36988500</v>
      </c>
    </row>
    <row r="5" spans="1:2" x14ac:dyDescent="0.25">
      <c r="A5" s="8">
        <v>1</v>
      </c>
      <c r="B5" s="2">
        <v>6000</v>
      </c>
    </row>
    <row r="6" spans="1:2" x14ac:dyDescent="0.25">
      <c r="A6" s="8">
        <v>2</v>
      </c>
      <c r="B6" s="2">
        <v>15100</v>
      </c>
    </row>
    <row r="7" spans="1:2" x14ac:dyDescent="0.25">
      <c r="A7" s="8">
        <v>3</v>
      </c>
      <c r="B7" s="2">
        <v>190000</v>
      </c>
    </row>
    <row r="8" spans="1:2" x14ac:dyDescent="0.25">
      <c r="A8" s="8">
        <v>5</v>
      </c>
      <c r="B8" s="2">
        <v>250000</v>
      </c>
    </row>
    <row r="9" spans="1:2" x14ac:dyDescent="0.25">
      <c r="A9" s="8">
        <v>4</v>
      </c>
      <c r="B9" s="2">
        <v>345900</v>
      </c>
    </row>
    <row r="10" spans="1:2" x14ac:dyDescent="0.25">
      <c r="A10" s="8">
        <v>10</v>
      </c>
      <c r="B10" s="2">
        <v>991500</v>
      </c>
    </row>
    <row r="11" spans="1:2" x14ac:dyDescent="0.25">
      <c r="A11" s="8">
        <v>20</v>
      </c>
      <c r="B11" s="2">
        <v>1540000</v>
      </c>
    </row>
    <row r="12" spans="1:2" x14ac:dyDescent="0.25">
      <c r="A12" s="8">
        <v>15</v>
      </c>
      <c r="B12" s="2">
        <v>8550000</v>
      </c>
    </row>
    <row r="13" spans="1:2" x14ac:dyDescent="0.25">
      <c r="A13" s="8">
        <v>27</v>
      </c>
      <c r="B13" s="2">
        <v>10000000</v>
      </c>
    </row>
    <row r="14" spans="1:2" x14ac:dyDescent="0.25">
      <c r="A14" s="8">
        <v>19</v>
      </c>
      <c r="B14" s="2">
        <v>15100000</v>
      </c>
    </row>
    <row r="15" spans="1:2" x14ac:dyDescent="0.25">
      <c r="A15" s="5" t="s">
        <v>6</v>
      </c>
      <c r="B15" s="2">
        <v>35081650</v>
      </c>
    </row>
    <row r="16" spans="1:2" x14ac:dyDescent="0.25">
      <c r="A16" s="8">
        <v>4</v>
      </c>
      <c r="B16" s="2">
        <v>25000</v>
      </c>
    </row>
    <row r="17" spans="1:2" x14ac:dyDescent="0.25">
      <c r="A17" s="8">
        <v>2</v>
      </c>
      <c r="B17" s="2">
        <v>47500</v>
      </c>
    </row>
    <row r="18" spans="1:2" x14ac:dyDescent="0.25">
      <c r="A18" s="8">
        <v>1</v>
      </c>
      <c r="B18" s="2">
        <v>63000</v>
      </c>
    </row>
    <row r="19" spans="1:2" x14ac:dyDescent="0.25">
      <c r="A19" s="8">
        <v>11</v>
      </c>
      <c r="B19" s="2">
        <v>220100</v>
      </c>
    </row>
    <row r="20" spans="1:2" x14ac:dyDescent="0.25">
      <c r="A20" s="8">
        <v>10</v>
      </c>
      <c r="B20" s="2">
        <v>410000</v>
      </c>
    </row>
    <row r="21" spans="1:2" x14ac:dyDescent="0.25">
      <c r="A21" s="8">
        <v>6</v>
      </c>
      <c r="B21" s="2">
        <v>1400000</v>
      </c>
    </row>
    <row r="22" spans="1:2" x14ac:dyDescent="0.25">
      <c r="A22" s="8">
        <v>25</v>
      </c>
      <c r="B22" s="2">
        <v>5001000</v>
      </c>
    </row>
    <row r="23" spans="1:2" x14ac:dyDescent="0.25">
      <c r="A23" s="8">
        <v>14</v>
      </c>
      <c r="B23" s="2">
        <v>6000050</v>
      </c>
    </row>
    <row r="24" spans="1:2" x14ac:dyDescent="0.25">
      <c r="A24" s="8">
        <v>5</v>
      </c>
      <c r="B24" s="2">
        <v>6845000</v>
      </c>
    </row>
    <row r="25" spans="1:2" x14ac:dyDescent="0.25">
      <c r="A25" s="8">
        <v>15</v>
      </c>
      <c r="B25" s="2">
        <v>7470000</v>
      </c>
    </row>
    <row r="26" spans="1:2" x14ac:dyDescent="0.25">
      <c r="A26" s="8">
        <v>16</v>
      </c>
      <c r="B26" s="2">
        <v>7600000</v>
      </c>
    </row>
    <row r="27" spans="1:2" x14ac:dyDescent="0.25">
      <c r="A27" s="5" t="s">
        <v>18</v>
      </c>
      <c r="B27" s="2">
        <v>72070150</v>
      </c>
    </row>
    <row r="33" spans="1:2" x14ac:dyDescent="0.25">
      <c r="A33" s="4" t="s">
        <v>17</v>
      </c>
      <c r="B33" t="s">
        <v>20</v>
      </c>
    </row>
    <row r="34" spans="1:2" x14ac:dyDescent="0.25">
      <c r="A34" s="5" t="s">
        <v>5</v>
      </c>
      <c r="B34" s="2">
        <v>36988500</v>
      </c>
    </row>
    <row r="35" spans="1:2" x14ac:dyDescent="0.25">
      <c r="A35" s="8">
        <v>22</v>
      </c>
      <c r="B35" s="2">
        <v>20000</v>
      </c>
    </row>
    <row r="36" spans="1:2" x14ac:dyDescent="0.25">
      <c r="A36" s="8">
        <v>21</v>
      </c>
      <c r="B36" s="2">
        <v>21100</v>
      </c>
    </row>
    <row r="37" spans="1:2" x14ac:dyDescent="0.25">
      <c r="A37" s="8">
        <v>36</v>
      </c>
      <c r="B37" s="2">
        <v>61500</v>
      </c>
    </row>
    <row r="38" spans="1:2" x14ac:dyDescent="0.25">
      <c r="A38" s="8">
        <v>27</v>
      </c>
      <c r="B38" s="2">
        <v>87000</v>
      </c>
    </row>
    <row r="39" spans="1:2" x14ac:dyDescent="0.25">
      <c r="A39" s="8">
        <v>23</v>
      </c>
      <c r="B39" s="2">
        <v>178900</v>
      </c>
    </row>
    <row r="40" spans="1:2" x14ac:dyDescent="0.25">
      <c r="A40" s="8">
        <v>28</v>
      </c>
      <c r="B40" s="2">
        <v>250000</v>
      </c>
    </row>
    <row r="41" spans="1:2" x14ac:dyDescent="0.25">
      <c r="A41" s="8">
        <v>26</v>
      </c>
      <c r="B41" s="2">
        <v>250000</v>
      </c>
    </row>
    <row r="42" spans="1:2" x14ac:dyDescent="0.25">
      <c r="A42" s="8">
        <v>34</v>
      </c>
      <c r="B42" s="2">
        <v>930000</v>
      </c>
    </row>
    <row r="43" spans="1:2" x14ac:dyDescent="0.25">
      <c r="A43" s="8">
        <v>55</v>
      </c>
      <c r="B43" s="2">
        <v>1540000</v>
      </c>
    </row>
    <row r="44" spans="1:2" x14ac:dyDescent="0.25">
      <c r="A44" s="8">
        <v>53</v>
      </c>
      <c r="B44" s="2">
        <v>9300000</v>
      </c>
    </row>
    <row r="45" spans="1:2" x14ac:dyDescent="0.25">
      <c r="A45" s="8">
        <v>62</v>
      </c>
      <c r="B45" s="2">
        <v>10000000</v>
      </c>
    </row>
    <row r="46" spans="1:2" x14ac:dyDescent="0.25">
      <c r="A46" s="8">
        <v>54</v>
      </c>
      <c r="B46" s="2">
        <v>14350000</v>
      </c>
    </row>
    <row r="47" spans="1:2" x14ac:dyDescent="0.25">
      <c r="A47" s="5" t="s">
        <v>6</v>
      </c>
      <c r="B47" s="2">
        <v>35081650</v>
      </c>
    </row>
    <row r="48" spans="1:2" x14ac:dyDescent="0.25">
      <c r="A48" s="8">
        <v>18</v>
      </c>
      <c r="B48" s="2">
        <v>3000</v>
      </c>
    </row>
    <row r="49" spans="1:2" x14ac:dyDescent="0.25">
      <c r="A49" s="8">
        <v>23</v>
      </c>
      <c r="B49" s="2">
        <v>7500</v>
      </c>
    </row>
    <row r="50" spans="1:2" x14ac:dyDescent="0.25">
      <c r="A50" s="8">
        <v>17</v>
      </c>
      <c r="B50" s="2">
        <v>10000</v>
      </c>
    </row>
    <row r="51" spans="1:2" x14ac:dyDescent="0.25">
      <c r="A51" s="8">
        <v>26</v>
      </c>
      <c r="B51" s="2">
        <v>25000</v>
      </c>
    </row>
    <row r="52" spans="1:2" x14ac:dyDescent="0.25">
      <c r="A52" s="8">
        <v>22</v>
      </c>
      <c r="B52" s="2">
        <v>25000</v>
      </c>
    </row>
    <row r="53" spans="1:2" x14ac:dyDescent="0.25">
      <c r="A53" s="8">
        <v>21</v>
      </c>
      <c r="B53" s="2">
        <v>65000</v>
      </c>
    </row>
    <row r="54" spans="1:2" x14ac:dyDescent="0.25">
      <c r="A54" s="8">
        <v>34</v>
      </c>
      <c r="B54" s="2">
        <v>80000</v>
      </c>
    </row>
    <row r="55" spans="1:2" x14ac:dyDescent="0.25">
      <c r="A55" s="8">
        <v>40</v>
      </c>
      <c r="B55" s="2">
        <v>220100</v>
      </c>
    </row>
    <row r="56" spans="1:2" x14ac:dyDescent="0.25">
      <c r="A56" s="8">
        <v>36</v>
      </c>
      <c r="B56" s="2">
        <v>330000</v>
      </c>
    </row>
    <row r="57" spans="1:2" x14ac:dyDescent="0.25">
      <c r="A57" s="8">
        <v>62</v>
      </c>
      <c r="B57" s="2">
        <v>5001000</v>
      </c>
    </row>
    <row r="58" spans="1:2" x14ac:dyDescent="0.25">
      <c r="A58" s="8">
        <v>39</v>
      </c>
      <c r="B58" s="2">
        <v>6000050</v>
      </c>
    </row>
    <row r="59" spans="1:2" x14ac:dyDescent="0.25">
      <c r="A59" s="8">
        <v>54</v>
      </c>
      <c r="B59" s="2">
        <v>7470000</v>
      </c>
    </row>
    <row r="60" spans="1:2" x14ac:dyDescent="0.25">
      <c r="A60" s="8">
        <v>49</v>
      </c>
      <c r="B60" s="2">
        <v>7600000</v>
      </c>
    </row>
    <row r="61" spans="1:2" x14ac:dyDescent="0.25">
      <c r="A61" s="8">
        <v>29</v>
      </c>
      <c r="B61" s="2">
        <v>8245000</v>
      </c>
    </row>
    <row r="62" spans="1:2" x14ac:dyDescent="0.25">
      <c r="A62" s="5" t="s">
        <v>18</v>
      </c>
      <c r="B62" s="2">
        <v>72070150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23E4C-A999-489E-8B3F-6887C6D4F41E}">
  <dimension ref="A1:I3"/>
  <sheetViews>
    <sheetView showGridLines="0" tabSelected="1" workbookViewId="0">
      <selection activeCell="L6" sqref="L6"/>
    </sheetView>
  </sheetViews>
  <sheetFormatPr defaultRowHeight="15" x14ac:dyDescent="0.25"/>
  <sheetData>
    <row r="1" spans="1:9" x14ac:dyDescent="0.25">
      <c r="A1" s="7" t="s">
        <v>21</v>
      </c>
      <c r="B1" s="6"/>
      <c r="C1" s="6"/>
      <c r="D1" s="6"/>
      <c r="E1" s="6"/>
      <c r="F1" s="6"/>
      <c r="G1" s="6"/>
      <c r="H1" s="6"/>
      <c r="I1" s="6"/>
    </row>
    <row r="2" spans="1:9" x14ac:dyDescent="0.25">
      <c r="A2" s="6"/>
      <c r="B2" s="6"/>
      <c r="C2" s="6"/>
      <c r="D2" s="6"/>
      <c r="E2" s="6"/>
      <c r="F2" s="6"/>
      <c r="G2" s="6"/>
      <c r="H2" s="6"/>
      <c r="I2" s="6"/>
    </row>
    <row r="3" spans="1:9" x14ac:dyDescent="0.25">
      <c r="A3" s="6"/>
      <c r="B3" s="6"/>
      <c r="C3" s="6"/>
      <c r="D3" s="6"/>
      <c r="E3" s="6"/>
      <c r="F3" s="6"/>
      <c r="G3" s="6"/>
      <c r="H3" s="6"/>
      <c r="I3" s="6"/>
    </row>
  </sheetData>
  <mergeCells count="1">
    <mergeCell ref="A1:I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Formulas</vt:lpstr>
      <vt:lpstr>Charts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Ritiesh Landge</cp:lastModifiedBy>
  <cp:lastPrinted>2025-12-06T00:02:41Z</cp:lastPrinted>
  <dcterms:created xsi:type="dcterms:W3CDTF">2025-12-06T00:07:06Z</dcterms:created>
  <dcterms:modified xsi:type="dcterms:W3CDTF">2025-12-06T00:32:21Z</dcterms:modified>
</cp:coreProperties>
</file>